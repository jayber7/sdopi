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8_{51C7286E-7541-4C92-8BDE-F03C68EF835B}" xr6:coauthVersionLast="45" xr6:coauthVersionMax="45" xr10:uidLastSave="{00000000-0000-0000-0000-000000000000}"/>
  <bookViews>
    <workbookView xWindow="-108" yWindow="-108" windowWidth="23256" windowHeight="12576" tabRatio="673" xr2:uid="{00000000-000D-0000-FFFF-FFFF00000000}"/>
  </bookViews>
  <sheets>
    <sheet name="TC" sheetId="41" r:id="rId1"/>
    <sheet name="ANALISIS" sheetId="29" r:id="rId2"/>
    <sheet name="PLANILLAS" sheetId="24" r:id="rId3"/>
    <sheet name="FISICO-FINANCIERO" sheetId="25" r:id="rId4"/>
    <sheet name="Grafica" sheetId="26" r:id="rId5"/>
    <sheet name="CAO N° 1" sheetId="31" r:id="rId6"/>
    <sheet name="CAO N° 2" sheetId="32" r:id="rId7"/>
    <sheet name="CAO N° 3" sheetId="34" r:id="rId8"/>
    <sheet name="CAO N° 4" sheetId="35" r:id="rId9"/>
    <sheet name="CAO N° 5" sheetId="36" r:id="rId10"/>
    <sheet name="CAO N° 6" sheetId="30" r:id="rId11"/>
    <sheet name="CAO N° 7" sheetId="37" r:id="rId12"/>
    <sheet name="CAO N° 8" sheetId="38" r:id="rId13"/>
    <sheet name="CAO N° 9" sheetId="39" r:id="rId14"/>
    <sheet name="CAO N° 10" sheetId="40" r:id="rId15"/>
  </sheets>
  <functionGroups builtInGroupCount="19"/>
  <definedNames>
    <definedName name="_xlnm.Print_Area" localSheetId="1">ANALISIS!$A$1:$P$35</definedName>
    <definedName name="_xlnm.Print_Area" localSheetId="5">'CAO N° 1'!$A$1:$R$103</definedName>
    <definedName name="_xlnm.Print_Area" localSheetId="14">'CAO N° 10'!$A$1:$R$103</definedName>
    <definedName name="_xlnm.Print_Area" localSheetId="6">'CAO N° 2'!$A$1:$R$103</definedName>
    <definedName name="_xlnm.Print_Area" localSheetId="7">'CAO N° 3'!$A$1:$R$103</definedName>
    <definedName name="_xlnm.Print_Area" localSheetId="8">'CAO N° 4'!$A$1:$R$103</definedName>
    <definedName name="_xlnm.Print_Area" localSheetId="9">'CAO N° 5'!$A$1:$R$103</definedName>
    <definedName name="_xlnm.Print_Area" localSheetId="10">'CAO N° 6'!$A$1:$R$103</definedName>
    <definedName name="_xlnm.Print_Area" localSheetId="11">'CAO N° 7'!$A$1:$R$103</definedName>
    <definedName name="_xlnm.Print_Area" localSheetId="12">'CAO N° 8'!$A$1:$R$103</definedName>
    <definedName name="_xlnm.Print_Area" localSheetId="13">'CAO N° 9'!$A$1:$R$103</definedName>
    <definedName name="_xlnm.Print_Area" localSheetId="3">'FISICO-FINANCIERO'!$A$1:$N$40</definedName>
    <definedName name="_xlnm.Print_Area" localSheetId="4">Grafica!$A$1:$Q$41</definedName>
    <definedName name="_xlnm.Print_Area" localSheetId="2">PLANILLAS!$A$1:$AU$104</definedName>
  </definedNames>
  <calcPr calcId="191029" fullPrecision="0"/>
</workbook>
</file>

<file path=xl/calcChain.xml><?xml version="1.0" encoding="utf-8"?>
<calcChain xmlns="http://schemas.openxmlformats.org/spreadsheetml/2006/main">
  <c r="I13" i="41" l="1"/>
  <c r="I15" i="41" s="1"/>
  <c r="I17" i="41" s="1"/>
  <c r="I19" i="41" s="1"/>
  <c r="I21" i="41" s="1"/>
  <c r="I23" i="41" s="1"/>
  <c r="I25" i="41" s="1"/>
  <c r="F13" i="41"/>
  <c r="F15" i="41" s="1"/>
  <c r="F17" i="41" s="1"/>
  <c r="F19" i="41" s="1"/>
  <c r="F21" i="41" s="1"/>
  <c r="F23" i="41" s="1"/>
  <c r="F25" i="41" s="1"/>
  <c r="L23" i="41" l="1"/>
  <c r="L21" i="41" s="1"/>
  <c r="N81" i="37"/>
  <c r="Q81" i="37" s="1"/>
  <c r="N80" i="37"/>
  <c r="P80" i="37" s="1"/>
  <c r="R80" i="37" s="1"/>
  <c r="N79" i="37"/>
  <c r="Q79" i="37" s="1"/>
  <c r="N78" i="37"/>
  <c r="Q78" i="37" s="1"/>
  <c r="N77" i="37"/>
  <c r="N76" i="37"/>
  <c r="N74" i="37"/>
  <c r="N73" i="37"/>
  <c r="Q73" i="37" s="1"/>
  <c r="N72" i="37"/>
  <c r="Q72" i="37" s="1"/>
  <c r="N71" i="37"/>
  <c r="P71" i="37" s="1"/>
  <c r="R71" i="37" s="1"/>
  <c r="N70" i="37"/>
  <c r="N68" i="37"/>
  <c r="N67" i="37"/>
  <c r="N66" i="37"/>
  <c r="N65" i="37"/>
  <c r="N64" i="37"/>
  <c r="Q64" i="37" s="1"/>
  <c r="N63" i="37"/>
  <c r="Q63" i="37" s="1"/>
  <c r="N62" i="37"/>
  <c r="Q62" i="37" s="1"/>
  <c r="N61" i="37"/>
  <c r="N60" i="37"/>
  <c r="Q60" i="37" s="1"/>
  <c r="N59" i="37"/>
  <c r="N58" i="37"/>
  <c r="N57" i="37"/>
  <c r="N55" i="37"/>
  <c r="Q55" i="37" s="1"/>
  <c r="N54" i="37"/>
  <c r="Q54" i="37" s="1"/>
  <c r="N53" i="37"/>
  <c r="P53" i="37" s="1"/>
  <c r="R53" i="37" s="1"/>
  <c r="N52" i="37"/>
  <c r="N51" i="37"/>
  <c r="N50" i="37"/>
  <c r="N49" i="37"/>
  <c r="N48" i="37"/>
  <c r="N47" i="37"/>
  <c r="Q47" i="37" s="1"/>
  <c r="N46" i="37"/>
  <c r="Q46" i="37" s="1"/>
  <c r="N45" i="37"/>
  <c r="Q45" i="37" s="1"/>
  <c r="N44" i="37"/>
  <c r="N43" i="37"/>
  <c r="N42" i="37"/>
  <c r="N40" i="37"/>
  <c r="N39" i="37"/>
  <c r="N38" i="37"/>
  <c r="Q38" i="37" s="1"/>
  <c r="N37" i="37"/>
  <c r="Q37" i="37" s="1"/>
  <c r="N36" i="37"/>
  <c r="Q36" i="37" s="1"/>
  <c r="N35" i="37"/>
  <c r="P35" i="37" s="1"/>
  <c r="R35" i="37" s="1"/>
  <c r="N34" i="37"/>
  <c r="Q34" i="37" s="1"/>
  <c r="N33" i="37"/>
  <c r="N32" i="37"/>
  <c r="N31" i="37"/>
  <c r="N30" i="37"/>
  <c r="Q30" i="37" s="1"/>
  <c r="N29" i="37"/>
  <c r="Q29" i="37" s="1"/>
  <c r="N28" i="37"/>
  <c r="N27" i="37"/>
  <c r="Q27" i="37" s="1"/>
  <c r="N25" i="37"/>
  <c r="N24" i="37"/>
  <c r="N23" i="37"/>
  <c r="N21" i="37"/>
  <c r="N20" i="37"/>
  <c r="Q20" i="37" s="1"/>
  <c r="N19" i="37"/>
  <c r="Q19" i="37" s="1"/>
  <c r="N18" i="37"/>
  <c r="Q18" i="37" s="1"/>
  <c r="N17" i="37"/>
  <c r="Q17" i="37" s="1"/>
  <c r="N16" i="37"/>
  <c r="Q77" i="37"/>
  <c r="Q76" i="37"/>
  <c r="Q74" i="37"/>
  <c r="Q68" i="37"/>
  <c r="Q67" i="37"/>
  <c r="Q66" i="37"/>
  <c r="Q65" i="37"/>
  <c r="Q59" i="37"/>
  <c r="Q58" i="37"/>
  <c r="Q57" i="37"/>
  <c r="Q51" i="37"/>
  <c r="Q50" i="37"/>
  <c r="Q49" i="37"/>
  <c r="Q48" i="37"/>
  <c r="Q43" i="37"/>
  <c r="Q42" i="37"/>
  <c r="Q40" i="37"/>
  <c r="Q39" i="37"/>
  <c r="Q33" i="37"/>
  <c r="Q32" i="37"/>
  <c r="Q31" i="37"/>
  <c r="R28" i="37"/>
  <c r="Q28" i="37"/>
  <c r="Q25" i="37"/>
  <c r="Q24" i="37"/>
  <c r="Q23" i="37"/>
  <c r="Q21" i="37"/>
  <c r="R18" i="37"/>
  <c r="Q16" i="37"/>
  <c r="P81" i="37"/>
  <c r="R81" i="37" s="1"/>
  <c r="P78" i="37"/>
  <c r="R78" i="37" s="1"/>
  <c r="P77" i="37"/>
  <c r="R77" i="37" s="1"/>
  <c r="O77" i="37"/>
  <c r="P76" i="37"/>
  <c r="R76" i="37" s="1"/>
  <c r="P74" i="37"/>
  <c r="R74" i="37" s="1"/>
  <c r="P72" i="37"/>
  <c r="R72" i="37" s="1"/>
  <c r="P68" i="37"/>
  <c r="R68" i="37" s="1"/>
  <c r="P67" i="37"/>
  <c r="R67" i="37" s="1"/>
  <c r="P66" i="37"/>
  <c r="R66" i="37" s="1"/>
  <c r="P65" i="37"/>
  <c r="R65" i="37" s="1"/>
  <c r="P63" i="37"/>
  <c r="R63" i="37" s="1"/>
  <c r="P60" i="37"/>
  <c r="R60" i="37" s="1"/>
  <c r="P59" i="37"/>
  <c r="R59" i="37" s="1"/>
  <c r="O59" i="37"/>
  <c r="P58" i="37"/>
  <c r="R58" i="37" s="1"/>
  <c r="O58" i="37"/>
  <c r="P57" i="37"/>
  <c r="R57" i="37" s="1"/>
  <c r="O57" i="37"/>
  <c r="O55" i="37"/>
  <c r="P54" i="37"/>
  <c r="R54" i="37" s="1"/>
  <c r="O54" i="37"/>
  <c r="O53" i="37"/>
  <c r="O52" i="37"/>
  <c r="P51" i="37"/>
  <c r="R51" i="37" s="1"/>
  <c r="O51" i="37"/>
  <c r="P50" i="37"/>
  <c r="R50" i="37" s="1"/>
  <c r="O50" i="37"/>
  <c r="P49" i="37"/>
  <c r="R49" i="37" s="1"/>
  <c r="O49" i="37"/>
  <c r="P48" i="37"/>
  <c r="R48" i="37" s="1"/>
  <c r="O48" i="37"/>
  <c r="O47" i="37"/>
  <c r="O46" i="37"/>
  <c r="P45" i="37"/>
  <c r="R45" i="37" s="1"/>
  <c r="O45" i="37"/>
  <c r="O44" i="37"/>
  <c r="P43" i="37"/>
  <c r="R43" i="37" s="1"/>
  <c r="O43" i="37"/>
  <c r="P42" i="37"/>
  <c r="R42" i="37" s="1"/>
  <c r="O42" i="37"/>
  <c r="P40" i="37"/>
  <c r="R40" i="37" s="1"/>
  <c r="P39" i="37"/>
  <c r="R39" i="37" s="1"/>
  <c r="P38" i="37"/>
  <c r="R38" i="37" s="1"/>
  <c r="O38" i="37"/>
  <c r="O37" i="37"/>
  <c r="O36" i="37"/>
  <c r="P34" i="37"/>
  <c r="R34" i="37" s="1"/>
  <c r="O34" i="37"/>
  <c r="P33" i="37"/>
  <c r="R33" i="37" s="1"/>
  <c r="O33" i="37"/>
  <c r="P32" i="37"/>
  <c r="R32" i="37" s="1"/>
  <c r="O32" i="37"/>
  <c r="P31" i="37"/>
  <c r="R31" i="37" s="1"/>
  <c r="O31" i="37"/>
  <c r="O30" i="37"/>
  <c r="P29" i="37"/>
  <c r="R29" i="37" s="1"/>
  <c r="O29" i="37"/>
  <c r="P28" i="37"/>
  <c r="O28" i="37"/>
  <c r="P27" i="37"/>
  <c r="R27" i="37" s="1"/>
  <c r="O27" i="37"/>
  <c r="O26" i="37"/>
  <c r="P25" i="37"/>
  <c r="R25" i="37" s="1"/>
  <c r="O25" i="37"/>
  <c r="P24" i="37"/>
  <c r="R24" i="37" s="1"/>
  <c r="O24" i="37"/>
  <c r="P23" i="37"/>
  <c r="R23" i="37" s="1"/>
  <c r="O23" i="37"/>
  <c r="O22" i="37"/>
  <c r="P21" i="37"/>
  <c r="R21" i="37" s="1"/>
  <c r="O21" i="37"/>
  <c r="O20" i="37"/>
  <c r="P19" i="37"/>
  <c r="R19" i="37" s="1"/>
  <c r="O19" i="37"/>
  <c r="P18" i="37"/>
  <c r="O18" i="37"/>
  <c r="P17" i="37"/>
  <c r="R17" i="37" s="1"/>
  <c r="O17" i="37"/>
  <c r="P16" i="37"/>
  <c r="R16" i="37" s="1"/>
  <c r="O16" i="37"/>
  <c r="N55" i="29"/>
  <c r="M55" i="29"/>
  <c r="O51" i="29"/>
  <c r="O50" i="29"/>
  <c r="O49" i="29"/>
  <c r="O48" i="29"/>
  <c r="O47" i="29"/>
  <c r="O46" i="29"/>
  <c r="O45" i="29"/>
  <c r="A2" i="26"/>
  <c r="A2" i="24"/>
  <c r="L40" i="29" a="1"/>
  <c r="P46" i="37" l="1"/>
  <c r="R46" i="37" s="1"/>
  <c r="P55" i="37"/>
  <c r="R55" i="37" s="1"/>
  <c r="P62" i="37"/>
  <c r="R62" i="37" s="1"/>
  <c r="P36" i="37"/>
  <c r="R36" i="37" s="1"/>
  <c r="P47" i="37"/>
  <c r="R47" i="37" s="1"/>
  <c r="P37" i="37"/>
  <c r="R37" i="37" s="1"/>
  <c r="Q35" i="37"/>
  <c r="Q44" i="37"/>
  <c r="P44" i="37"/>
  <c r="R44" i="37" s="1"/>
  <c r="Q52" i="37"/>
  <c r="P52" i="37"/>
  <c r="R52" i="37" s="1"/>
  <c r="P61" i="37"/>
  <c r="R61" i="37" s="1"/>
  <c r="Q61" i="37"/>
  <c r="P70" i="37"/>
  <c r="R70" i="37" s="1"/>
  <c r="Q70" i="37"/>
  <c r="Q80" i="37"/>
  <c r="Q71" i="37"/>
  <c r="Q53" i="37"/>
  <c r="O55" i="29"/>
  <c r="P79" i="37"/>
  <c r="R79" i="37" s="1"/>
  <c r="P20" i="37"/>
  <c r="R20" i="37" s="1"/>
  <c r="P30" i="37"/>
  <c r="R30" i="37" s="1"/>
  <c r="P64" i="37"/>
  <c r="R64" i="37" s="1"/>
  <c r="P73" i="37"/>
  <c r="R73" i="37" s="1"/>
  <c r="L40" i="29"/>
  <c r="K55" i="29" l="1"/>
  <c r="J55" i="29"/>
  <c r="K57" i="29" s="1"/>
  <c r="Q55" i="29"/>
  <c r="P55" i="29"/>
  <c r="F16" i="30"/>
  <c r="I16" i="30"/>
  <c r="N16" i="30"/>
  <c r="O16" i="30"/>
  <c r="A17" i="30"/>
  <c r="F17" i="30"/>
  <c r="G17" i="30"/>
  <c r="I17" i="30"/>
  <c r="N17" i="30"/>
  <c r="Q17" i="30" s="1"/>
  <c r="O17" i="30"/>
  <c r="A18" i="30"/>
  <c r="A19" i="30" s="1"/>
  <c r="A20" i="30" s="1"/>
  <c r="A21" i="30" s="1"/>
  <c r="F18" i="30"/>
  <c r="G18" i="30"/>
  <c r="I18" i="30"/>
  <c r="N18" i="30"/>
  <c r="O18" i="30"/>
  <c r="F19" i="30"/>
  <c r="G19" i="30"/>
  <c r="I19" i="30"/>
  <c r="N19" i="30"/>
  <c r="O19" i="30"/>
  <c r="F20" i="30"/>
  <c r="G20" i="30"/>
  <c r="I20" i="30"/>
  <c r="N20" i="30"/>
  <c r="O20" i="30"/>
  <c r="F21" i="30"/>
  <c r="G21" i="30"/>
  <c r="I21" i="30"/>
  <c r="N21" i="30"/>
  <c r="O21" i="30"/>
  <c r="O22" i="30"/>
  <c r="F23" i="30"/>
  <c r="G23" i="30"/>
  <c r="I23" i="30"/>
  <c r="N23" i="30"/>
  <c r="O23" i="30"/>
  <c r="F24" i="30"/>
  <c r="G24" i="30"/>
  <c r="I24" i="30"/>
  <c r="N24" i="30"/>
  <c r="O24" i="30"/>
  <c r="F25" i="30"/>
  <c r="G25" i="30"/>
  <c r="I25" i="30"/>
  <c r="N25" i="30"/>
  <c r="O25" i="30"/>
  <c r="O26" i="30"/>
  <c r="F27" i="30"/>
  <c r="G27" i="30"/>
  <c r="I27" i="30"/>
  <c r="N27" i="30"/>
  <c r="O27" i="30"/>
  <c r="A28" i="30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F28" i="30"/>
  <c r="G28" i="30"/>
  <c r="I28" i="30"/>
  <c r="N28" i="30"/>
  <c r="O28" i="30"/>
  <c r="F29" i="30"/>
  <c r="G29" i="30"/>
  <c r="I29" i="30"/>
  <c r="N29" i="30"/>
  <c r="O29" i="30"/>
  <c r="F30" i="30"/>
  <c r="G30" i="30"/>
  <c r="I30" i="30"/>
  <c r="N30" i="30"/>
  <c r="O30" i="30"/>
  <c r="F31" i="30"/>
  <c r="G31" i="30"/>
  <c r="I31" i="30"/>
  <c r="N31" i="30"/>
  <c r="O31" i="30"/>
  <c r="F32" i="30"/>
  <c r="G32" i="30"/>
  <c r="I32" i="30"/>
  <c r="N32" i="30"/>
  <c r="O32" i="30"/>
  <c r="F33" i="30"/>
  <c r="G33" i="30"/>
  <c r="I33" i="30"/>
  <c r="N33" i="30"/>
  <c r="O33" i="30"/>
  <c r="F34" i="30"/>
  <c r="G34" i="30"/>
  <c r="I34" i="30"/>
  <c r="N34" i="30"/>
  <c r="O34" i="30"/>
  <c r="F35" i="30"/>
  <c r="G35" i="30"/>
  <c r="I35" i="30"/>
  <c r="N35" i="30"/>
  <c r="F36" i="30"/>
  <c r="G36" i="30"/>
  <c r="I36" i="30"/>
  <c r="N36" i="30"/>
  <c r="O36" i="30"/>
  <c r="F37" i="30"/>
  <c r="G37" i="30"/>
  <c r="I37" i="30"/>
  <c r="N37" i="30"/>
  <c r="O37" i="30"/>
  <c r="F38" i="30"/>
  <c r="G38" i="30"/>
  <c r="I38" i="30"/>
  <c r="N38" i="30"/>
  <c r="O38" i="30"/>
  <c r="F39" i="30"/>
  <c r="G39" i="30"/>
  <c r="I39" i="30"/>
  <c r="N39" i="30"/>
  <c r="P39" i="30"/>
  <c r="F40" i="30"/>
  <c r="G40" i="30"/>
  <c r="I40" i="30"/>
  <c r="N40" i="30"/>
  <c r="Q40" i="30" s="1"/>
  <c r="P40" i="30"/>
  <c r="R40" i="30" s="1"/>
  <c r="F42" i="30"/>
  <c r="G42" i="30"/>
  <c r="I42" i="30"/>
  <c r="N42" i="30"/>
  <c r="Q42" i="30" s="1"/>
  <c r="O42" i="30"/>
  <c r="A43" i="30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F43" i="30"/>
  <c r="G43" i="30"/>
  <c r="I43" i="30"/>
  <c r="N43" i="30"/>
  <c r="O43" i="30"/>
  <c r="F44" i="30"/>
  <c r="G44" i="30"/>
  <c r="I44" i="30"/>
  <c r="N44" i="30"/>
  <c r="O44" i="30"/>
  <c r="F45" i="30"/>
  <c r="G45" i="30"/>
  <c r="I45" i="30"/>
  <c r="N45" i="30"/>
  <c r="Q45" i="30" s="1"/>
  <c r="O45" i="30"/>
  <c r="F46" i="30"/>
  <c r="G46" i="30"/>
  <c r="I46" i="30"/>
  <c r="N46" i="30"/>
  <c r="P46" i="30" s="1"/>
  <c r="R46" i="30" s="1"/>
  <c r="O46" i="30"/>
  <c r="F47" i="30"/>
  <c r="G47" i="30"/>
  <c r="I47" i="30"/>
  <c r="N47" i="30"/>
  <c r="Q47" i="30" s="1"/>
  <c r="O47" i="30"/>
  <c r="F48" i="30"/>
  <c r="G48" i="30"/>
  <c r="I48" i="30"/>
  <c r="N48" i="30"/>
  <c r="O48" i="30"/>
  <c r="F49" i="30"/>
  <c r="G49" i="30"/>
  <c r="I49" i="30"/>
  <c r="N49" i="30"/>
  <c r="O49" i="30"/>
  <c r="F50" i="30"/>
  <c r="G50" i="30"/>
  <c r="I50" i="30"/>
  <c r="N50" i="30"/>
  <c r="Q50" i="30" s="1"/>
  <c r="O50" i="30"/>
  <c r="F51" i="30"/>
  <c r="G51" i="30"/>
  <c r="I51" i="30"/>
  <c r="N51" i="30"/>
  <c r="O51" i="30"/>
  <c r="F52" i="30"/>
  <c r="G52" i="30"/>
  <c r="I52" i="30"/>
  <c r="N52" i="30"/>
  <c r="O52" i="30"/>
  <c r="F53" i="30"/>
  <c r="G53" i="30"/>
  <c r="I53" i="30"/>
  <c r="N53" i="30"/>
  <c r="Q53" i="30" s="1"/>
  <c r="O53" i="30"/>
  <c r="F54" i="30"/>
  <c r="G54" i="30"/>
  <c r="I54" i="30"/>
  <c r="N54" i="30"/>
  <c r="O54" i="30"/>
  <c r="F55" i="30"/>
  <c r="G55" i="30"/>
  <c r="I55" i="30"/>
  <c r="N55" i="30"/>
  <c r="O55" i="30"/>
  <c r="F57" i="30"/>
  <c r="G57" i="30"/>
  <c r="I57" i="30"/>
  <c r="N57" i="30"/>
  <c r="O57" i="30"/>
  <c r="A58" i="30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F58" i="30"/>
  <c r="G58" i="30"/>
  <c r="I58" i="30"/>
  <c r="N58" i="30"/>
  <c r="O58" i="30"/>
  <c r="F59" i="30"/>
  <c r="G59" i="30"/>
  <c r="I59" i="30"/>
  <c r="N59" i="30"/>
  <c r="O59" i="30"/>
  <c r="F60" i="30"/>
  <c r="G60" i="30"/>
  <c r="I60" i="30"/>
  <c r="N60" i="30"/>
  <c r="F61" i="30"/>
  <c r="G61" i="30"/>
  <c r="I61" i="30"/>
  <c r="N61" i="30"/>
  <c r="F62" i="30"/>
  <c r="G62" i="30"/>
  <c r="I62" i="30"/>
  <c r="N62" i="30"/>
  <c r="F63" i="30"/>
  <c r="G63" i="30"/>
  <c r="I63" i="30"/>
  <c r="N63" i="30"/>
  <c r="F64" i="30"/>
  <c r="G64" i="30"/>
  <c r="I64" i="30"/>
  <c r="N64" i="30"/>
  <c r="F65" i="30"/>
  <c r="G65" i="30"/>
  <c r="I65" i="30"/>
  <c r="N65" i="30"/>
  <c r="F66" i="30"/>
  <c r="G66" i="30"/>
  <c r="I66" i="30"/>
  <c r="N66" i="30"/>
  <c r="F67" i="30"/>
  <c r="G67" i="30"/>
  <c r="I67" i="30"/>
  <c r="N67" i="30"/>
  <c r="F68" i="30"/>
  <c r="G68" i="30"/>
  <c r="I68" i="30"/>
  <c r="N68" i="30"/>
  <c r="F70" i="30"/>
  <c r="G70" i="30"/>
  <c r="I70" i="30"/>
  <c r="N70" i="30"/>
  <c r="A71" i="30"/>
  <c r="A72" i="30" s="1"/>
  <c r="A73" i="30" s="1"/>
  <c r="A74" i="30" s="1"/>
  <c r="F71" i="30"/>
  <c r="G71" i="30"/>
  <c r="I71" i="30"/>
  <c r="N71" i="30"/>
  <c r="Q71" i="30" s="1"/>
  <c r="F72" i="30"/>
  <c r="G72" i="30"/>
  <c r="I72" i="30"/>
  <c r="N72" i="30"/>
  <c r="F73" i="30"/>
  <c r="G73" i="30"/>
  <c r="I73" i="30"/>
  <c r="N73" i="30"/>
  <c r="Q73" i="30" s="1"/>
  <c r="P73" i="30"/>
  <c r="R73" i="30" s="1"/>
  <c r="F74" i="30"/>
  <c r="G74" i="30"/>
  <c r="I74" i="30"/>
  <c r="N74" i="30"/>
  <c r="Q74" i="30" s="1"/>
  <c r="F76" i="30"/>
  <c r="G76" i="30"/>
  <c r="I76" i="30"/>
  <c r="N76" i="30"/>
  <c r="F77" i="30"/>
  <c r="G77" i="30"/>
  <c r="I77" i="30"/>
  <c r="N77" i="30"/>
  <c r="O77" i="30"/>
  <c r="A78" i="30"/>
  <c r="A79" i="30" s="1"/>
  <c r="A80" i="30" s="1"/>
  <c r="F78" i="30"/>
  <c r="G78" i="30"/>
  <c r="I78" i="30"/>
  <c r="N78" i="30"/>
  <c r="F79" i="30"/>
  <c r="G79" i="30"/>
  <c r="I79" i="30"/>
  <c r="N79" i="30"/>
  <c r="P79" i="30"/>
  <c r="F80" i="30"/>
  <c r="G80" i="30"/>
  <c r="I80" i="30"/>
  <c r="N80" i="30"/>
  <c r="Q80" i="30" s="1"/>
  <c r="F81" i="30"/>
  <c r="G81" i="30"/>
  <c r="I81" i="30"/>
  <c r="N81" i="30"/>
  <c r="L55" i="29"/>
  <c r="K59" i="29" a="1"/>
  <c r="L57" i="29" a="1"/>
  <c r="Q72" i="30" l="1"/>
  <c r="Q30" i="30"/>
  <c r="Q38" i="30"/>
  <c r="R79" i="30"/>
  <c r="Q79" i="30"/>
  <c r="Q59" i="30"/>
  <c r="Q43" i="30"/>
  <c r="Q34" i="30"/>
  <c r="P71" i="30"/>
  <c r="R71" i="30" s="1"/>
  <c r="P53" i="30"/>
  <c r="R53" i="30" s="1"/>
  <c r="P50" i="30"/>
  <c r="R50" i="30" s="1"/>
  <c r="P47" i="30"/>
  <c r="R47" i="30" s="1"/>
  <c r="Q18" i="30"/>
  <c r="P80" i="30"/>
  <c r="R80" i="30" s="1"/>
  <c r="P77" i="30"/>
  <c r="R77" i="30" s="1"/>
  <c r="Q77" i="30"/>
  <c r="P74" i="30"/>
  <c r="R74" i="30" s="1"/>
  <c r="Q70" i="30"/>
  <c r="P67" i="30"/>
  <c r="R67" i="30" s="1"/>
  <c r="Q67" i="30"/>
  <c r="P65" i="30"/>
  <c r="R65" i="30" s="1"/>
  <c r="Q65" i="30"/>
  <c r="P63" i="30"/>
  <c r="R63" i="30" s="1"/>
  <c r="Q63" i="30"/>
  <c r="P61" i="30"/>
  <c r="R61" i="30" s="1"/>
  <c r="Q61" i="30"/>
  <c r="P59" i="30"/>
  <c r="R59" i="30" s="1"/>
  <c r="Q58" i="30"/>
  <c r="P54" i="30"/>
  <c r="R54" i="30" s="1"/>
  <c r="Q54" i="30"/>
  <c r="Q51" i="30"/>
  <c r="P48" i="30"/>
  <c r="R48" i="30" s="1"/>
  <c r="Q48" i="30"/>
  <c r="P45" i="30"/>
  <c r="R45" i="30" s="1"/>
  <c r="P44" i="30"/>
  <c r="R44" i="30" s="1"/>
  <c r="Q44" i="30"/>
  <c r="P31" i="30"/>
  <c r="R31" i="30" s="1"/>
  <c r="Q31" i="30"/>
  <c r="P37" i="30"/>
  <c r="R37" i="30" s="1"/>
  <c r="Q37" i="30"/>
  <c r="P24" i="30"/>
  <c r="R24" i="30" s="1"/>
  <c r="Q24" i="30"/>
  <c r="P20" i="30"/>
  <c r="R20" i="30" s="1"/>
  <c r="Q20" i="30"/>
  <c r="P16" i="30"/>
  <c r="R16" i="30" s="1"/>
  <c r="Q16" i="30"/>
  <c r="P72" i="30"/>
  <c r="R72" i="30" s="1"/>
  <c r="P55" i="30"/>
  <c r="R55" i="30" s="1"/>
  <c r="Q55" i="30"/>
  <c r="P52" i="30"/>
  <c r="R52" i="30" s="1"/>
  <c r="Q52" i="30"/>
  <c r="P49" i="30"/>
  <c r="R49" i="30" s="1"/>
  <c r="Q49" i="30"/>
  <c r="P42" i="30"/>
  <c r="R42" i="30" s="1"/>
  <c r="P38" i="30"/>
  <c r="R38" i="30" s="1"/>
  <c r="P35" i="30"/>
  <c r="R35" i="30" s="1"/>
  <c r="Q35" i="30"/>
  <c r="P32" i="30"/>
  <c r="R32" i="30" s="1"/>
  <c r="Q32" i="30"/>
  <c r="P29" i="30"/>
  <c r="R29" i="30" s="1"/>
  <c r="Q29" i="30"/>
  <c r="P68" i="30"/>
  <c r="R68" i="30" s="1"/>
  <c r="Q68" i="30"/>
  <c r="P62" i="30"/>
  <c r="R62" i="30" s="1"/>
  <c r="Q62" i="30"/>
  <c r="Q46" i="30"/>
  <c r="P60" i="30"/>
  <c r="R60" i="30" s="1"/>
  <c r="Q60" i="30"/>
  <c r="P25" i="30"/>
  <c r="R25" i="30" s="1"/>
  <c r="Q25" i="30"/>
  <c r="P21" i="30"/>
  <c r="R21" i="30" s="1"/>
  <c r="Q21" i="30"/>
  <c r="P66" i="30"/>
  <c r="R66" i="30" s="1"/>
  <c r="Q66" i="30"/>
  <c r="P58" i="30"/>
  <c r="R58" i="30" s="1"/>
  <c r="P57" i="30"/>
  <c r="R57" i="30" s="1"/>
  <c r="Q57" i="30"/>
  <c r="R39" i="30"/>
  <c r="P33" i="30"/>
  <c r="R33" i="30" s="1"/>
  <c r="Q33" i="30"/>
  <c r="P28" i="30"/>
  <c r="R28" i="30" s="1"/>
  <c r="Q28" i="30"/>
  <c r="P78" i="30"/>
  <c r="R78" i="30" s="1"/>
  <c r="Q78" i="30"/>
  <c r="P81" i="30"/>
  <c r="R81" i="30" s="1"/>
  <c r="Q81" i="30"/>
  <c r="P76" i="30"/>
  <c r="R76" i="30" s="1"/>
  <c r="Q76" i="30"/>
  <c r="P64" i="30"/>
  <c r="R64" i="30" s="1"/>
  <c r="Q64" i="30"/>
  <c r="P70" i="30"/>
  <c r="R70" i="30" s="1"/>
  <c r="Q39" i="30"/>
  <c r="P36" i="30"/>
  <c r="R36" i="30" s="1"/>
  <c r="Q36" i="30"/>
  <c r="P34" i="30"/>
  <c r="R34" i="30" s="1"/>
  <c r="P27" i="30"/>
  <c r="R27" i="30" s="1"/>
  <c r="Q27" i="30"/>
  <c r="P23" i="30"/>
  <c r="R23" i="30" s="1"/>
  <c r="Q23" i="30"/>
  <c r="P19" i="30"/>
  <c r="R19" i="30" s="1"/>
  <c r="Q19" i="30"/>
  <c r="L57" i="29"/>
  <c r="K59" i="29"/>
  <c r="P17" i="30"/>
  <c r="R17" i="30" s="1"/>
  <c r="P51" i="30"/>
  <c r="R51" i="30" s="1"/>
  <c r="P43" i="30"/>
  <c r="R43" i="30" s="1"/>
  <c r="P30" i="30"/>
  <c r="R30" i="30" s="1"/>
  <c r="P18" i="30"/>
  <c r="R18" i="30" s="1"/>
  <c r="L25" i="24"/>
  <c r="L27" i="24"/>
  <c r="S45" i="29" l="1"/>
  <c r="I6" i="29"/>
  <c r="AD63" i="24" l="1"/>
  <c r="AM81" i="24"/>
  <c r="AM80" i="24"/>
  <c r="AM79" i="24"/>
  <c r="AM78" i="24"/>
  <c r="AM77" i="24"/>
  <c r="AM76" i="24"/>
  <c r="AM74" i="24"/>
  <c r="AM73" i="24"/>
  <c r="AM72" i="24"/>
  <c r="AM71" i="24"/>
  <c r="AM70" i="24"/>
  <c r="AM68" i="24"/>
  <c r="AM67" i="24"/>
  <c r="AM66" i="24"/>
  <c r="AM65" i="24"/>
  <c r="AM64" i="24"/>
  <c r="AM63" i="24"/>
  <c r="AM62" i="24"/>
  <c r="AM61" i="24"/>
  <c r="AM60" i="24"/>
  <c r="AM59" i="24"/>
  <c r="AM58" i="24"/>
  <c r="AM57" i="24"/>
  <c r="AM55" i="24"/>
  <c r="AM54" i="24"/>
  <c r="AM53" i="24"/>
  <c r="AM52" i="24"/>
  <c r="AM51" i="24"/>
  <c r="AM50" i="24"/>
  <c r="AM49" i="24"/>
  <c r="AM48" i="24"/>
  <c r="AM47" i="24"/>
  <c r="AM46" i="24"/>
  <c r="AM45" i="24"/>
  <c r="AM44" i="24"/>
  <c r="AM43" i="24"/>
  <c r="AM42" i="24"/>
  <c r="AM40" i="24"/>
  <c r="AM39" i="24"/>
  <c r="AM38" i="24"/>
  <c r="AM37" i="24"/>
  <c r="AM36" i="24"/>
  <c r="AM35" i="24"/>
  <c r="AM34" i="24"/>
  <c r="AM33" i="24"/>
  <c r="AM32" i="24"/>
  <c r="AM31" i="24"/>
  <c r="AM30" i="24"/>
  <c r="AM29" i="24"/>
  <c r="AM28" i="24"/>
  <c r="AM27" i="24"/>
  <c r="AM25" i="24"/>
  <c r="AM24" i="24"/>
  <c r="AM23" i="24"/>
  <c r="AM21" i="24"/>
  <c r="AM20" i="24"/>
  <c r="AM19" i="24"/>
  <c r="AM18" i="24"/>
  <c r="AM17" i="24"/>
  <c r="AM16" i="24"/>
  <c r="AJ81" i="24"/>
  <c r="AJ80" i="24"/>
  <c r="AJ79" i="24"/>
  <c r="AJ78" i="24"/>
  <c r="AJ77" i="24"/>
  <c r="AJ76" i="24"/>
  <c r="AJ74" i="24"/>
  <c r="AJ73" i="24"/>
  <c r="AJ72" i="24"/>
  <c r="AJ71" i="24"/>
  <c r="AJ70" i="24"/>
  <c r="AJ68" i="24"/>
  <c r="AJ67" i="24"/>
  <c r="AJ66" i="24"/>
  <c r="AJ65" i="24"/>
  <c r="AJ64" i="24"/>
  <c r="AJ63" i="24"/>
  <c r="AJ62" i="24"/>
  <c r="AJ61" i="24"/>
  <c r="AJ60" i="24"/>
  <c r="AJ59" i="24"/>
  <c r="AJ58" i="24"/>
  <c r="AJ57" i="24"/>
  <c r="AJ55" i="24"/>
  <c r="AJ54" i="24"/>
  <c r="AJ53" i="24"/>
  <c r="AJ52" i="24"/>
  <c r="AJ51" i="24"/>
  <c r="AJ50" i="24"/>
  <c r="AJ49" i="24"/>
  <c r="AJ48" i="24"/>
  <c r="AJ47" i="24"/>
  <c r="AJ46" i="24"/>
  <c r="AJ45" i="24"/>
  <c r="AJ44" i="24"/>
  <c r="AJ43" i="24"/>
  <c r="AJ42" i="24"/>
  <c r="AJ40" i="24"/>
  <c r="AJ39" i="24"/>
  <c r="AJ38" i="24"/>
  <c r="AJ37" i="24"/>
  <c r="AJ36" i="24"/>
  <c r="AJ35" i="24"/>
  <c r="AJ34" i="24"/>
  <c r="AJ33" i="24"/>
  <c r="AJ32" i="24"/>
  <c r="AJ31" i="24"/>
  <c r="AJ30" i="24"/>
  <c r="AJ29" i="24"/>
  <c r="AJ28" i="24"/>
  <c r="AJ27" i="24"/>
  <c r="AJ25" i="24"/>
  <c r="AJ24" i="24"/>
  <c r="AJ23" i="24"/>
  <c r="AJ21" i="24"/>
  <c r="AJ20" i="24"/>
  <c r="AJ19" i="24"/>
  <c r="AJ18" i="24"/>
  <c r="AJ17" i="24"/>
  <c r="AJ16" i="24"/>
  <c r="AG81" i="24"/>
  <c r="AG80" i="24"/>
  <c r="AG79" i="24"/>
  <c r="AG78" i="24"/>
  <c r="AG77" i="24"/>
  <c r="AG76" i="24"/>
  <c r="AG74" i="24"/>
  <c r="AG73" i="24"/>
  <c r="AG72" i="24"/>
  <c r="AG71" i="24"/>
  <c r="AG70" i="24"/>
  <c r="AG68" i="24"/>
  <c r="AG67" i="24"/>
  <c r="AG66" i="24"/>
  <c r="AG65" i="24"/>
  <c r="AG64" i="24"/>
  <c r="AG63" i="24"/>
  <c r="AG62" i="24"/>
  <c r="AG61" i="24"/>
  <c r="AG60" i="24"/>
  <c r="AG59" i="24"/>
  <c r="AG58" i="24"/>
  <c r="AG57" i="24"/>
  <c r="AG55" i="24"/>
  <c r="AG54" i="24"/>
  <c r="AG53" i="24"/>
  <c r="AG52" i="24"/>
  <c r="AG51" i="24"/>
  <c r="AG50" i="24"/>
  <c r="AG49" i="24"/>
  <c r="AG48" i="24"/>
  <c r="AG47" i="24"/>
  <c r="AG46" i="24"/>
  <c r="AG45" i="24"/>
  <c r="AG44" i="24"/>
  <c r="AG43" i="24"/>
  <c r="AG42" i="24"/>
  <c r="AG40" i="24"/>
  <c r="AG39" i="24"/>
  <c r="AG38" i="24"/>
  <c r="AG37" i="24"/>
  <c r="AG36" i="24"/>
  <c r="AG35" i="24"/>
  <c r="AG34" i="24"/>
  <c r="AG33" i="24"/>
  <c r="AG32" i="24"/>
  <c r="AG31" i="24"/>
  <c r="AG30" i="24"/>
  <c r="AG29" i="24"/>
  <c r="AG28" i="24"/>
  <c r="AG27" i="24"/>
  <c r="AG25" i="24"/>
  <c r="AG24" i="24"/>
  <c r="AG23" i="24"/>
  <c r="AG21" i="24"/>
  <c r="AG20" i="24"/>
  <c r="AG19" i="24"/>
  <c r="AG18" i="24"/>
  <c r="AG17" i="24"/>
  <c r="AG16" i="24"/>
  <c r="AD81" i="24"/>
  <c r="AD80" i="24"/>
  <c r="AD79" i="24"/>
  <c r="AD78" i="24"/>
  <c r="AD77" i="24"/>
  <c r="AD76" i="24"/>
  <c r="AD74" i="24"/>
  <c r="AD73" i="24"/>
  <c r="AD72" i="24"/>
  <c r="AD71" i="24"/>
  <c r="AD70" i="24"/>
  <c r="AD68" i="24"/>
  <c r="AD67" i="24"/>
  <c r="AD66" i="24"/>
  <c r="AD65" i="24"/>
  <c r="AD64" i="24"/>
  <c r="AD62" i="24"/>
  <c r="AD61" i="24"/>
  <c r="AD60" i="24"/>
  <c r="AD59" i="24"/>
  <c r="AD58" i="24"/>
  <c r="AD57" i="24"/>
  <c r="AD55" i="24"/>
  <c r="AD54" i="24"/>
  <c r="AD53" i="24"/>
  <c r="AD52" i="24"/>
  <c r="AD51" i="24"/>
  <c r="AD50" i="24"/>
  <c r="AD49" i="24"/>
  <c r="AD48" i="24"/>
  <c r="AD47" i="24"/>
  <c r="AD46" i="24"/>
  <c r="AD45" i="24"/>
  <c r="AD44" i="24"/>
  <c r="AD43" i="24"/>
  <c r="AD42" i="24"/>
  <c r="AD40" i="24"/>
  <c r="AD39" i="24"/>
  <c r="AD38" i="24"/>
  <c r="AD37" i="24"/>
  <c r="AD36" i="24"/>
  <c r="AD35" i="24"/>
  <c r="AD34" i="24"/>
  <c r="AD33" i="24"/>
  <c r="AD32" i="24"/>
  <c r="AD31" i="24"/>
  <c r="AD30" i="24"/>
  <c r="AD29" i="24"/>
  <c r="AD28" i="24"/>
  <c r="AD27" i="24"/>
  <c r="AD25" i="24"/>
  <c r="AD24" i="24"/>
  <c r="AD23" i="24"/>
  <c r="AD21" i="24"/>
  <c r="AD20" i="24"/>
  <c r="AD19" i="24"/>
  <c r="AD18" i="24"/>
  <c r="AD17" i="24"/>
  <c r="AD16" i="24"/>
  <c r="AA81" i="24"/>
  <c r="AA80" i="24"/>
  <c r="AA79" i="24"/>
  <c r="AA78" i="24"/>
  <c r="AA77" i="24"/>
  <c r="AA76" i="24"/>
  <c r="AA74" i="24"/>
  <c r="AA73" i="24"/>
  <c r="AA72" i="24"/>
  <c r="AA71" i="24"/>
  <c r="AA70" i="24"/>
  <c r="AA68" i="24"/>
  <c r="AA67" i="24"/>
  <c r="AA66" i="24"/>
  <c r="AA65" i="24"/>
  <c r="AA64" i="24"/>
  <c r="AA63" i="24"/>
  <c r="AA62" i="24"/>
  <c r="AA61" i="24"/>
  <c r="AA60" i="24"/>
  <c r="AA59" i="24"/>
  <c r="AA58" i="24"/>
  <c r="AA57" i="24"/>
  <c r="AA55" i="24"/>
  <c r="AA54" i="24"/>
  <c r="AA53" i="24"/>
  <c r="AA52" i="24"/>
  <c r="AA51" i="24"/>
  <c r="AA50" i="24"/>
  <c r="AA49" i="24"/>
  <c r="AA48" i="24"/>
  <c r="AA47" i="24"/>
  <c r="AA46" i="24"/>
  <c r="AA45" i="24"/>
  <c r="AA44" i="24"/>
  <c r="AA43" i="24"/>
  <c r="AA42" i="24"/>
  <c r="AA40" i="24"/>
  <c r="AA39" i="24"/>
  <c r="AA38" i="24"/>
  <c r="AA37" i="24"/>
  <c r="AA36" i="24"/>
  <c r="AA35" i="24"/>
  <c r="AA34" i="24"/>
  <c r="AA33" i="24"/>
  <c r="AA32" i="24"/>
  <c r="AA31" i="24"/>
  <c r="AA30" i="24"/>
  <c r="AA29" i="24"/>
  <c r="AA28" i="24"/>
  <c r="AA27" i="24"/>
  <c r="AA25" i="24"/>
  <c r="AA24" i="24"/>
  <c r="AA23" i="24"/>
  <c r="AA21" i="24"/>
  <c r="AA20" i="24"/>
  <c r="AA19" i="24"/>
  <c r="AA18" i="24"/>
  <c r="AA17" i="24"/>
  <c r="AA16" i="24"/>
  <c r="X81" i="24"/>
  <c r="X80" i="24"/>
  <c r="X79" i="24"/>
  <c r="X78" i="24"/>
  <c r="X77" i="24"/>
  <c r="X76" i="24"/>
  <c r="X74" i="24"/>
  <c r="X73" i="24"/>
  <c r="X72" i="24"/>
  <c r="X71" i="24"/>
  <c r="X70" i="24"/>
  <c r="X68" i="24"/>
  <c r="X67" i="24"/>
  <c r="X66" i="24"/>
  <c r="X65" i="24"/>
  <c r="X64" i="24"/>
  <c r="X63" i="24"/>
  <c r="X62" i="24"/>
  <c r="X61" i="24"/>
  <c r="X60" i="24"/>
  <c r="X59" i="24"/>
  <c r="X58" i="24"/>
  <c r="X57" i="24"/>
  <c r="X55" i="24"/>
  <c r="X54" i="24"/>
  <c r="X53" i="24"/>
  <c r="X52" i="24"/>
  <c r="X51" i="24"/>
  <c r="X50" i="24"/>
  <c r="X49" i="24"/>
  <c r="X48" i="24"/>
  <c r="X47" i="24"/>
  <c r="X46" i="24"/>
  <c r="X45" i="24"/>
  <c r="X44" i="24"/>
  <c r="X43" i="24"/>
  <c r="X42" i="24"/>
  <c r="X40" i="24"/>
  <c r="X39" i="24"/>
  <c r="X38" i="24"/>
  <c r="X37" i="24"/>
  <c r="X36" i="24"/>
  <c r="X35" i="24"/>
  <c r="X34" i="24"/>
  <c r="X33" i="24"/>
  <c r="X32" i="24"/>
  <c r="X31" i="24"/>
  <c r="X30" i="24"/>
  <c r="X29" i="24"/>
  <c r="X28" i="24"/>
  <c r="X27" i="24"/>
  <c r="X25" i="24"/>
  <c r="X24" i="24"/>
  <c r="X23" i="24"/>
  <c r="X21" i="24"/>
  <c r="X20" i="24"/>
  <c r="X19" i="24"/>
  <c r="X18" i="24"/>
  <c r="X17" i="24"/>
  <c r="X16" i="24"/>
  <c r="U81" i="24"/>
  <c r="U80" i="24"/>
  <c r="U79" i="24"/>
  <c r="U78" i="24"/>
  <c r="U77" i="24"/>
  <c r="U76" i="24"/>
  <c r="U74" i="24"/>
  <c r="U73" i="24"/>
  <c r="U72" i="24"/>
  <c r="U71" i="24"/>
  <c r="U70" i="24"/>
  <c r="U68" i="24"/>
  <c r="U67" i="24"/>
  <c r="U66" i="24"/>
  <c r="U65" i="24"/>
  <c r="U64" i="24"/>
  <c r="U63" i="24"/>
  <c r="U62" i="24"/>
  <c r="U61" i="24"/>
  <c r="U60" i="24"/>
  <c r="U59" i="24"/>
  <c r="U58" i="24"/>
  <c r="U57" i="24"/>
  <c r="U55" i="24"/>
  <c r="U54" i="24"/>
  <c r="U53" i="24"/>
  <c r="U52" i="24"/>
  <c r="U51" i="24"/>
  <c r="U50" i="24"/>
  <c r="U49" i="24"/>
  <c r="U48" i="24"/>
  <c r="U47" i="24"/>
  <c r="U46" i="24"/>
  <c r="U45" i="24"/>
  <c r="U44" i="24"/>
  <c r="U43" i="24"/>
  <c r="U42" i="24"/>
  <c r="U40" i="24"/>
  <c r="U39" i="24"/>
  <c r="U38" i="24"/>
  <c r="U37" i="24"/>
  <c r="U36" i="24"/>
  <c r="U35" i="24"/>
  <c r="U34" i="24"/>
  <c r="U33" i="24"/>
  <c r="U32" i="24"/>
  <c r="U31" i="24"/>
  <c r="U30" i="24"/>
  <c r="U29" i="24"/>
  <c r="U28" i="24"/>
  <c r="U27" i="24"/>
  <c r="U25" i="24"/>
  <c r="U24" i="24"/>
  <c r="U23" i="24"/>
  <c r="U21" i="24"/>
  <c r="U20" i="24"/>
  <c r="U19" i="24"/>
  <c r="U18" i="24"/>
  <c r="U17" i="24"/>
  <c r="U16" i="24"/>
  <c r="R81" i="24"/>
  <c r="R80" i="24"/>
  <c r="R79" i="24"/>
  <c r="R78" i="24"/>
  <c r="R77" i="24"/>
  <c r="R76" i="24"/>
  <c r="R74" i="24"/>
  <c r="R73" i="24"/>
  <c r="R72" i="24"/>
  <c r="R71" i="24"/>
  <c r="R70" i="24"/>
  <c r="R68" i="24"/>
  <c r="R67" i="24"/>
  <c r="R66" i="24"/>
  <c r="R65" i="24"/>
  <c r="R64" i="24"/>
  <c r="R63" i="24"/>
  <c r="R62" i="24"/>
  <c r="R61" i="24"/>
  <c r="R60" i="24"/>
  <c r="R59" i="24"/>
  <c r="R58" i="24"/>
  <c r="R57" i="24"/>
  <c r="R55" i="24"/>
  <c r="R54" i="24"/>
  <c r="R53" i="24"/>
  <c r="R52" i="24"/>
  <c r="R51" i="24"/>
  <c r="R50" i="24"/>
  <c r="R49" i="24"/>
  <c r="R48" i="24"/>
  <c r="R47" i="24"/>
  <c r="R46" i="24"/>
  <c r="R45" i="24"/>
  <c r="R44" i="24"/>
  <c r="R43" i="24"/>
  <c r="R42" i="24"/>
  <c r="R40" i="24"/>
  <c r="R39" i="24"/>
  <c r="R38" i="24"/>
  <c r="R37" i="24"/>
  <c r="R36" i="24"/>
  <c r="R35" i="24"/>
  <c r="R34" i="24"/>
  <c r="R33" i="24"/>
  <c r="R32" i="24"/>
  <c r="R31" i="24"/>
  <c r="R30" i="24"/>
  <c r="R29" i="24"/>
  <c r="R28" i="24"/>
  <c r="R27" i="24"/>
  <c r="R25" i="24"/>
  <c r="R24" i="24"/>
  <c r="R23" i="24"/>
  <c r="R21" i="24"/>
  <c r="R20" i="24"/>
  <c r="R19" i="24"/>
  <c r="R18" i="24"/>
  <c r="R17" i="24"/>
  <c r="R16" i="24"/>
  <c r="O81" i="24"/>
  <c r="O80" i="24"/>
  <c r="O79" i="24"/>
  <c r="O78" i="24"/>
  <c r="O77" i="24"/>
  <c r="O76" i="24"/>
  <c r="O74" i="24"/>
  <c r="O73" i="24"/>
  <c r="O72" i="24"/>
  <c r="O71" i="24"/>
  <c r="O70" i="24"/>
  <c r="O68" i="24"/>
  <c r="O67" i="24"/>
  <c r="O66" i="24"/>
  <c r="O65" i="24"/>
  <c r="O64" i="24"/>
  <c r="O63" i="24"/>
  <c r="O62" i="24"/>
  <c r="O61" i="24"/>
  <c r="O60" i="24"/>
  <c r="O59" i="24"/>
  <c r="O58" i="24"/>
  <c r="O57" i="24"/>
  <c r="O55" i="24"/>
  <c r="O54" i="24"/>
  <c r="O53" i="24"/>
  <c r="O52" i="24"/>
  <c r="O51" i="24"/>
  <c r="O50" i="24"/>
  <c r="O49" i="24"/>
  <c r="O48" i="24"/>
  <c r="O47" i="24"/>
  <c r="O46" i="24"/>
  <c r="O45" i="24"/>
  <c r="O44" i="24"/>
  <c r="O43" i="24"/>
  <c r="O42" i="24"/>
  <c r="O40" i="24"/>
  <c r="O39" i="24"/>
  <c r="O38" i="24"/>
  <c r="O37" i="24"/>
  <c r="O36" i="24"/>
  <c r="O35" i="24"/>
  <c r="O34" i="24"/>
  <c r="O33" i="24"/>
  <c r="O32" i="24"/>
  <c r="O31" i="24"/>
  <c r="O30" i="24"/>
  <c r="O29" i="24"/>
  <c r="O28" i="24"/>
  <c r="O27" i="24"/>
  <c r="O25" i="24"/>
  <c r="O24" i="24"/>
  <c r="O23" i="24"/>
  <c r="O21" i="24"/>
  <c r="O20" i="24"/>
  <c r="O19" i="24"/>
  <c r="O18" i="24"/>
  <c r="O17" i="24"/>
  <c r="O16" i="24"/>
  <c r="L81" i="24"/>
  <c r="L80" i="24"/>
  <c r="L79" i="24"/>
  <c r="L78" i="24"/>
  <c r="L76" i="24"/>
  <c r="L74" i="24"/>
  <c r="L73" i="24"/>
  <c r="L72" i="24"/>
  <c r="L71" i="24"/>
  <c r="L70" i="24"/>
  <c r="L68" i="24"/>
  <c r="L67" i="24"/>
  <c r="L66" i="24"/>
  <c r="L65" i="24"/>
  <c r="L64" i="24"/>
  <c r="L63" i="24"/>
  <c r="L62" i="24"/>
  <c r="L61" i="24"/>
  <c r="L60" i="24"/>
  <c r="L59" i="24"/>
  <c r="L58" i="24"/>
  <c r="L57" i="24"/>
  <c r="L55" i="24"/>
  <c r="L54" i="24"/>
  <c r="L53" i="24"/>
  <c r="L52" i="24"/>
  <c r="L51" i="24"/>
  <c r="L50" i="24"/>
  <c r="L49" i="24"/>
  <c r="L48" i="24"/>
  <c r="L47" i="24"/>
  <c r="L46" i="24"/>
  <c r="L45" i="24"/>
  <c r="L44" i="24"/>
  <c r="L40" i="24"/>
  <c r="L39" i="24"/>
  <c r="L38" i="24"/>
  <c r="L37" i="24"/>
  <c r="L36" i="24"/>
  <c r="L35" i="24"/>
  <c r="L34" i="24"/>
  <c r="L33" i="24"/>
  <c r="L32" i="24"/>
  <c r="L31" i="24"/>
  <c r="L30" i="24"/>
  <c r="L29" i="24"/>
  <c r="L28" i="24"/>
  <c r="L24" i="24"/>
  <c r="L23" i="24"/>
  <c r="L21" i="24"/>
  <c r="L20" i="24"/>
  <c r="L19" i="24"/>
  <c r="L18" i="24"/>
  <c r="L17" i="24"/>
  <c r="L16" i="24"/>
  <c r="AX56" i="24"/>
  <c r="AX41" i="24"/>
  <c r="AX26" i="24"/>
  <c r="AX22" i="24"/>
  <c r="AX69" i="24"/>
  <c r="AX75" i="24"/>
  <c r="AP54" i="24" l="1"/>
  <c r="AP81" i="24"/>
  <c r="AP46" i="24"/>
  <c r="AP63" i="24"/>
  <c r="AP37" i="24"/>
  <c r="AP72" i="24"/>
  <c r="AP71" i="24"/>
  <c r="AP28" i="24"/>
  <c r="AP17" i="24"/>
  <c r="AP29" i="24"/>
  <c r="AP52" i="24"/>
  <c r="AP53" i="24"/>
  <c r="AP80" i="24"/>
  <c r="AP62" i="24"/>
  <c r="AP79" i="24"/>
  <c r="AP68" i="24"/>
  <c r="AP25" i="24"/>
  <c r="AP60" i="24"/>
  <c r="AP78" i="24"/>
  <c r="AP70" i="24"/>
  <c r="AP18" i="24"/>
  <c r="AP35" i="24"/>
  <c r="AP36" i="24"/>
  <c r="AP45" i="24"/>
  <c r="AP38" i="24"/>
  <c r="AP20" i="24"/>
  <c r="AP30" i="24"/>
  <c r="AP47" i="24"/>
  <c r="AP55" i="24"/>
  <c r="AP73" i="24"/>
  <c r="AP21" i="24"/>
  <c r="AP31" i="24"/>
  <c r="AP39" i="24"/>
  <c r="AP65" i="24"/>
  <c r="AP32" i="24"/>
  <c r="AP40" i="24"/>
  <c r="AP66" i="24"/>
  <c r="AP64" i="24"/>
  <c r="AP59" i="24"/>
  <c r="AP23" i="24"/>
  <c r="AP58" i="24"/>
  <c r="AP57" i="24"/>
  <c r="AP50" i="24"/>
  <c r="AP44" i="24"/>
  <c r="AP61" i="24"/>
  <c r="AP51" i="24"/>
  <c r="AP24" i="24"/>
  <c r="AP67" i="24"/>
  <c r="AP76" i="24"/>
  <c r="AP74" i="24"/>
  <c r="AP49" i="24"/>
  <c r="AP27" i="24"/>
  <c r="AP34" i="24"/>
  <c r="AP33" i="24"/>
  <c r="AP19" i="24"/>
  <c r="AP48" i="24"/>
  <c r="AP16" i="24"/>
  <c r="S46" i="29"/>
  <c r="S47" i="29" s="1"/>
  <c r="S48" i="29" s="1"/>
  <c r="S49" i="29" s="1"/>
  <c r="I15" i="29"/>
  <c r="N15" i="29" s="1"/>
  <c r="I14" i="29"/>
  <c r="N14" i="29" s="1"/>
  <c r="I13" i="29"/>
  <c r="N13" i="29" s="1"/>
  <c r="I12" i="29"/>
  <c r="I11" i="29"/>
  <c r="I10" i="29"/>
  <c r="I9" i="29"/>
  <c r="I8" i="29"/>
  <c r="I7" i="29"/>
  <c r="O83" i="40"/>
  <c r="L83" i="40"/>
  <c r="R82" i="40"/>
  <c r="N81" i="40"/>
  <c r="P81" i="40" s="1"/>
  <c r="I81" i="40"/>
  <c r="G81" i="40"/>
  <c r="F81" i="40"/>
  <c r="N80" i="40"/>
  <c r="I80" i="40"/>
  <c r="G80" i="40"/>
  <c r="F80" i="40"/>
  <c r="N79" i="40"/>
  <c r="I79" i="40"/>
  <c r="G79" i="40"/>
  <c r="F79" i="40"/>
  <c r="N78" i="40"/>
  <c r="I78" i="40"/>
  <c r="G78" i="40"/>
  <c r="F78" i="40"/>
  <c r="A78" i="40"/>
  <c r="A79" i="40" s="1"/>
  <c r="A80" i="40" s="1"/>
  <c r="O77" i="40"/>
  <c r="N77" i="40"/>
  <c r="P77" i="40" s="1"/>
  <c r="I77" i="40"/>
  <c r="G77" i="40"/>
  <c r="F77" i="40"/>
  <c r="N76" i="40"/>
  <c r="I76" i="40"/>
  <c r="G76" i="40"/>
  <c r="F76" i="40"/>
  <c r="N74" i="40"/>
  <c r="I74" i="40"/>
  <c r="G74" i="40"/>
  <c r="F74" i="40"/>
  <c r="N73" i="40"/>
  <c r="P73" i="40" s="1"/>
  <c r="I73" i="40"/>
  <c r="G73" i="40"/>
  <c r="F73" i="40"/>
  <c r="N72" i="40"/>
  <c r="I72" i="40"/>
  <c r="G72" i="40"/>
  <c r="F72" i="40"/>
  <c r="N71" i="40"/>
  <c r="P71" i="40" s="1"/>
  <c r="I71" i="40"/>
  <c r="G71" i="40"/>
  <c r="F71" i="40"/>
  <c r="A71" i="40"/>
  <c r="A72" i="40" s="1"/>
  <c r="A73" i="40" s="1"/>
  <c r="A74" i="40" s="1"/>
  <c r="N70" i="40"/>
  <c r="P70" i="40" s="1"/>
  <c r="I70" i="40"/>
  <c r="G70" i="40"/>
  <c r="F70" i="40"/>
  <c r="N68" i="40"/>
  <c r="P68" i="40" s="1"/>
  <c r="I68" i="40"/>
  <c r="G68" i="40"/>
  <c r="F68" i="40"/>
  <c r="N67" i="40"/>
  <c r="I67" i="40"/>
  <c r="G67" i="40"/>
  <c r="F67" i="40"/>
  <c r="N66" i="40"/>
  <c r="I66" i="40"/>
  <c r="G66" i="40"/>
  <c r="F66" i="40"/>
  <c r="N65" i="40"/>
  <c r="P65" i="40" s="1"/>
  <c r="I65" i="40"/>
  <c r="G65" i="40"/>
  <c r="F65" i="40"/>
  <c r="N64" i="40"/>
  <c r="P64" i="40" s="1"/>
  <c r="I64" i="40"/>
  <c r="G64" i="40"/>
  <c r="F64" i="40"/>
  <c r="N63" i="40"/>
  <c r="I63" i="40"/>
  <c r="G63" i="40"/>
  <c r="F63" i="40"/>
  <c r="N62" i="40"/>
  <c r="I62" i="40"/>
  <c r="G62" i="40"/>
  <c r="F62" i="40"/>
  <c r="N61" i="40"/>
  <c r="P61" i="40" s="1"/>
  <c r="I61" i="40"/>
  <c r="G61" i="40"/>
  <c r="F61" i="40"/>
  <c r="N60" i="40"/>
  <c r="P60" i="40" s="1"/>
  <c r="I60" i="40"/>
  <c r="G60" i="40"/>
  <c r="F60" i="40"/>
  <c r="O59" i="40"/>
  <c r="N59" i="40"/>
  <c r="P59" i="40" s="1"/>
  <c r="I59" i="40"/>
  <c r="G59" i="40"/>
  <c r="F59" i="40"/>
  <c r="O58" i="40"/>
  <c r="N58" i="40"/>
  <c r="P58" i="40" s="1"/>
  <c r="I58" i="40"/>
  <c r="G58" i="40"/>
  <c r="F58" i="40"/>
  <c r="A58" i="40"/>
  <c r="A59" i="40" s="1"/>
  <c r="A60" i="40" s="1"/>
  <c r="A61" i="40" s="1"/>
  <c r="A62" i="40" s="1"/>
  <c r="A63" i="40" s="1"/>
  <c r="A64" i="40" s="1"/>
  <c r="A65" i="40" s="1"/>
  <c r="A66" i="40" s="1"/>
  <c r="A67" i="40" s="1"/>
  <c r="A68" i="40" s="1"/>
  <c r="O57" i="40"/>
  <c r="N57" i="40"/>
  <c r="P57" i="40" s="1"/>
  <c r="I57" i="40"/>
  <c r="G57" i="40"/>
  <c r="F57" i="40"/>
  <c r="O55" i="40"/>
  <c r="N55" i="40"/>
  <c r="P55" i="40" s="1"/>
  <c r="I55" i="40"/>
  <c r="G55" i="40"/>
  <c r="F55" i="40"/>
  <c r="O54" i="40"/>
  <c r="N54" i="40"/>
  <c r="I54" i="40"/>
  <c r="G54" i="40"/>
  <c r="F54" i="40"/>
  <c r="O53" i="40"/>
  <c r="N53" i="40"/>
  <c r="I53" i="40"/>
  <c r="G53" i="40"/>
  <c r="F53" i="40"/>
  <c r="O52" i="40"/>
  <c r="N52" i="40"/>
  <c r="I52" i="40"/>
  <c r="G52" i="40"/>
  <c r="F52" i="40"/>
  <c r="O51" i="40"/>
  <c r="N51" i="40"/>
  <c r="I51" i="40"/>
  <c r="G51" i="40"/>
  <c r="F51" i="40"/>
  <c r="O50" i="40"/>
  <c r="N50" i="40"/>
  <c r="P50" i="40" s="1"/>
  <c r="I50" i="40"/>
  <c r="G50" i="40"/>
  <c r="F50" i="40"/>
  <c r="O49" i="40"/>
  <c r="N49" i="40"/>
  <c r="P49" i="40" s="1"/>
  <c r="I49" i="40"/>
  <c r="G49" i="40"/>
  <c r="F49" i="40"/>
  <c r="O48" i="40"/>
  <c r="N48" i="40"/>
  <c r="P48" i="40" s="1"/>
  <c r="I48" i="40"/>
  <c r="G48" i="40"/>
  <c r="F48" i="40"/>
  <c r="O47" i="40"/>
  <c r="N47" i="40"/>
  <c r="P47" i="40" s="1"/>
  <c r="I47" i="40"/>
  <c r="G47" i="40"/>
  <c r="F47" i="40"/>
  <c r="O46" i="40"/>
  <c r="N46" i="40"/>
  <c r="I46" i="40"/>
  <c r="G46" i="40"/>
  <c r="F46" i="40"/>
  <c r="O45" i="40"/>
  <c r="N45" i="40"/>
  <c r="I45" i="40"/>
  <c r="G45" i="40"/>
  <c r="F45" i="40"/>
  <c r="O44" i="40"/>
  <c r="N44" i="40"/>
  <c r="I44" i="40"/>
  <c r="G44" i="40"/>
  <c r="F44" i="40"/>
  <c r="O43" i="40"/>
  <c r="N43" i="40"/>
  <c r="I43" i="40"/>
  <c r="G43" i="40"/>
  <c r="F43" i="40"/>
  <c r="A43" i="40"/>
  <c r="A44" i="40" s="1"/>
  <c r="A45" i="40" s="1"/>
  <c r="A46" i="40" s="1"/>
  <c r="A47" i="40" s="1"/>
  <c r="A48" i="40" s="1"/>
  <c r="A49" i="40" s="1"/>
  <c r="A50" i="40" s="1"/>
  <c r="A51" i="40" s="1"/>
  <c r="A52" i="40" s="1"/>
  <c r="A53" i="40" s="1"/>
  <c r="A54" i="40" s="1"/>
  <c r="A55" i="40" s="1"/>
  <c r="O42" i="40"/>
  <c r="N42" i="40"/>
  <c r="I42" i="40"/>
  <c r="G42" i="40"/>
  <c r="F42" i="40"/>
  <c r="N40" i="40"/>
  <c r="P40" i="40" s="1"/>
  <c r="I40" i="40"/>
  <c r="G40" i="40"/>
  <c r="F40" i="40"/>
  <c r="N39" i="40"/>
  <c r="I39" i="40"/>
  <c r="G39" i="40"/>
  <c r="F39" i="40"/>
  <c r="O38" i="40"/>
  <c r="N38" i="40"/>
  <c r="I38" i="40"/>
  <c r="G38" i="40"/>
  <c r="F38" i="40"/>
  <c r="O37" i="40"/>
  <c r="N37" i="40"/>
  <c r="P37" i="40" s="1"/>
  <c r="I37" i="40"/>
  <c r="G37" i="40"/>
  <c r="F37" i="40"/>
  <c r="O36" i="40"/>
  <c r="N36" i="40"/>
  <c r="P36" i="40" s="1"/>
  <c r="I36" i="40"/>
  <c r="G36" i="40"/>
  <c r="F36" i="40"/>
  <c r="N35" i="40"/>
  <c r="I35" i="40"/>
  <c r="G35" i="40"/>
  <c r="F35" i="40"/>
  <c r="O34" i="40"/>
  <c r="N34" i="40"/>
  <c r="P34" i="40" s="1"/>
  <c r="I34" i="40"/>
  <c r="G34" i="40"/>
  <c r="F34" i="40"/>
  <c r="O33" i="40"/>
  <c r="N33" i="40"/>
  <c r="P33" i="40" s="1"/>
  <c r="I33" i="40"/>
  <c r="G33" i="40"/>
  <c r="F33" i="40"/>
  <c r="O32" i="40"/>
  <c r="N32" i="40"/>
  <c r="I32" i="40"/>
  <c r="G32" i="40"/>
  <c r="F32" i="40"/>
  <c r="O31" i="40"/>
  <c r="N31" i="40"/>
  <c r="I31" i="40"/>
  <c r="G31" i="40"/>
  <c r="F31" i="40"/>
  <c r="O30" i="40"/>
  <c r="N30" i="40"/>
  <c r="I30" i="40"/>
  <c r="G30" i="40"/>
  <c r="F30" i="40"/>
  <c r="O29" i="40"/>
  <c r="N29" i="40"/>
  <c r="P29" i="40" s="1"/>
  <c r="I29" i="40"/>
  <c r="G29" i="40"/>
  <c r="F29" i="40"/>
  <c r="O28" i="40"/>
  <c r="N28" i="40"/>
  <c r="I28" i="40"/>
  <c r="G28" i="40"/>
  <c r="F28" i="40"/>
  <c r="A28" i="40"/>
  <c r="A29" i="40" s="1"/>
  <c r="A30" i="40" s="1"/>
  <c r="A31" i="40" s="1"/>
  <c r="A32" i="40" s="1"/>
  <c r="A33" i="40" s="1"/>
  <c r="A34" i="40" s="1"/>
  <c r="A35" i="40" s="1"/>
  <c r="A36" i="40" s="1"/>
  <c r="A37" i="40" s="1"/>
  <c r="A38" i="40" s="1"/>
  <c r="A39" i="40" s="1"/>
  <c r="A40" i="40" s="1"/>
  <c r="O27" i="40"/>
  <c r="N27" i="40"/>
  <c r="P27" i="40" s="1"/>
  <c r="I27" i="40"/>
  <c r="G27" i="40"/>
  <c r="F27" i="40"/>
  <c r="O26" i="40"/>
  <c r="O25" i="40"/>
  <c r="N25" i="40"/>
  <c r="P25" i="40" s="1"/>
  <c r="I25" i="40"/>
  <c r="G25" i="40"/>
  <c r="F25" i="40"/>
  <c r="O24" i="40"/>
  <c r="N24" i="40"/>
  <c r="P24" i="40" s="1"/>
  <c r="I24" i="40"/>
  <c r="G24" i="40"/>
  <c r="F24" i="40"/>
  <c r="O23" i="40"/>
  <c r="N23" i="40"/>
  <c r="P23" i="40" s="1"/>
  <c r="I23" i="40"/>
  <c r="G23" i="40"/>
  <c r="F23" i="40"/>
  <c r="O22" i="40"/>
  <c r="O21" i="40"/>
  <c r="N21" i="40"/>
  <c r="I21" i="40"/>
  <c r="G21" i="40"/>
  <c r="F21" i="40"/>
  <c r="O20" i="40"/>
  <c r="N20" i="40"/>
  <c r="I20" i="40"/>
  <c r="G20" i="40"/>
  <c r="F20" i="40"/>
  <c r="O19" i="40"/>
  <c r="N19" i="40"/>
  <c r="I19" i="40"/>
  <c r="G19" i="40"/>
  <c r="F19" i="40"/>
  <c r="O18" i="40"/>
  <c r="N18" i="40"/>
  <c r="I18" i="40"/>
  <c r="G18" i="40"/>
  <c r="F18" i="40"/>
  <c r="O17" i="40"/>
  <c r="N17" i="40"/>
  <c r="P17" i="40" s="1"/>
  <c r="I17" i="40"/>
  <c r="G17" i="40"/>
  <c r="F17" i="40"/>
  <c r="A17" i="40"/>
  <c r="A18" i="40" s="1"/>
  <c r="A19" i="40" s="1"/>
  <c r="A20" i="40" s="1"/>
  <c r="A21" i="40" s="1"/>
  <c r="O16" i="40"/>
  <c r="N16" i="40"/>
  <c r="P16" i="40" s="1"/>
  <c r="I16" i="40"/>
  <c r="Q16" i="40" s="1"/>
  <c r="F16" i="40"/>
  <c r="J16" i="40" s="1"/>
  <c r="D8" i="40"/>
  <c r="A2" i="40"/>
  <c r="O83" i="39"/>
  <c r="L83" i="39"/>
  <c r="R82" i="39"/>
  <c r="N81" i="39"/>
  <c r="P81" i="39" s="1"/>
  <c r="I81" i="39"/>
  <c r="G81" i="39"/>
  <c r="F81" i="39"/>
  <c r="N80" i="39"/>
  <c r="I80" i="39"/>
  <c r="G80" i="39"/>
  <c r="F80" i="39"/>
  <c r="N79" i="39"/>
  <c r="I79" i="39"/>
  <c r="G79" i="39"/>
  <c r="F79" i="39"/>
  <c r="N78" i="39"/>
  <c r="I78" i="39"/>
  <c r="G78" i="39"/>
  <c r="F78" i="39"/>
  <c r="A78" i="39"/>
  <c r="A79" i="39" s="1"/>
  <c r="A80" i="39" s="1"/>
  <c r="P77" i="39"/>
  <c r="O77" i="39"/>
  <c r="N77" i="39"/>
  <c r="I77" i="39"/>
  <c r="G77" i="39"/>
  <c r="F77" i="39"/>
  <c r="N76" i="39"/>
  <c r="I76" i="39"/>
  <c r="G76" i="39"/>
  <c r="F76" i="39"/>
  <c r="N74" i="39"/>
  <c r="P74" i="39" s="1"/>
  <c r="I74" i="39"/>
  <c r="G74" i="39"/>
  <c r="F74" i="39"/>
  <c r="N73" i="39"/>
  <c r="P73" i="39" s="1"/>
  <c r="I73" i="39"/>
  <c r="G73" i="39"/>
  <c r="F73" i="39"/>
  <c r="N72" i="39"/>
  <c r="P72" i="39" s="1"/>
  <c r="I72" i="39"/>
  <c r="G72" i="39"/>
  <c r="F72" i="39"/>
  <c r="N71" i="39"/>
  <c r="P71" i="39" s="1"/>
  <c r="I71" i="39"/>
  <c r="G71" i="39"/>
  <c r="F71" i="39"/>
  <c r="A71" i="39"/>
  <c r="A72" i="39" s="1"/>
  <c r="A73" i="39" s="1"/>
  <c r="A74" i="39" s="1"/>
  <c r="N70" i="39"/>
  <c r="P70" i="39" s="1"/>
  <c r="I70" i="39"/>
  <c r="G70" i="39"/>
  <c r="F70" i="39"/>
  <c r="N68" i="39"/>
  <c r="I68" i="39"/>
  <c r="G68" i="39"/>
  <c r="F68" i="39"/>
  <c r="N67" i="39"/>
  <c r="P67" i="39" s="1"/>
  <c r="I67" i="39"/>
  <c r="G67" i="39"/>
  <c r="F67" i="39"/>
  <c r="N66" i="39"/>
  <c r="P66" i="39" s="1"/>
  <c r="I66" i="39"/>
  <c r="G66" i="39"/>
  <c r="F66" i="39"/>
  <c r="N65" i="39"/>
  <c r="P65" i="39" s="1"/>
  <c r="I65" i="39"/>
  <c r="G65" i="39"/>
  <c r="F65" i="39"/>
  <c r="N64" i="39"/>
  <c r="P64" i="39" s="1"/>
  <c r="I64" i="39"/>
  <c r="G64" i="39"/>
  <c r="F64" i="39"/>
  <c r="N63" i="39"/>
  <c r="P63" i="39" s="1"/>
  <c r="I63" i="39"/>
  <c r="G63" i="39"/>
  <c r="F63" i="39"/>
  <c r="N62" i="39"/>
  <c r="P62" i="39" s="1"/>
  <c r="I62" i="39"/>
  <c r="G62" i="39"/>
  <c r="F62" i="39"/>
  <c r="N61" i="39"/>
  <c r="P61" i="39" s="1"/>
  <c r="I61" i="39"/>
  <c r="G61" i="39"/>
  <c r="F61" i="39"/>
  <c r="N60" i="39"/>
  <c r="I60" i="39"/>
  <c r="G60" i="39"/>
  <c r="F60" i="39"/>
  <c r="O59" i="39"/>
  <c r="N59" i="39"/>
  <c r="I59" i="39"/>
  <c r="G59" i="39"/>
  <c r="F59" i="39"/>
  <c r="O58" i="39"/>
  <c r="N58" i="39"/>
  <c r="P58" i="39" s="1"/>
  <c r="I58" i="39"/>
  <c r="G58" i="39"/>
  <c r="F58" i="39"/>
  <c r="A58" i="39"/>
  <c r="A59" i="39" s="1"/>
  <c r="A60" i="39" s="1"/>
  <c r="A61" i="39" s="1"/>
  <c r="A62" i="39" s="1"/>
  <c r="A63" i="39" s="1"/>
  <c r="A64" i="39" s="1"/>
  <c r="A65" i="39" s="1"/>
  <c r="A66" i="39" s="1"/>
  <c r="A67" i="39" s="1"/>
  <c r="A68" i="39" s="1"/>
  <c r="O57" i="39"/>
  <c r="N57" i="39"/>
  <c r="P57" i="39" s="1"/>
  <c r="I57" i="39"/>
  <c r="G57" i="39"/>
  <c r="F57" i="39"/>
  <c r="O55" i="39"/>
  <c r="N55" i="39"/>
  <c r="P55" i="39" s="1"/>
  <c r="I55" i="39"/>
  <c r="G55" i="39"/>
  <c r="F55" i="39"/>
  <c r="O54" i="39"/>
  <c r="N54" i="39"/>
  <c r="I54" i="39"/>
  <c r="G54" i="39"/>
  <c r="F54" i="39"/>
  <c r="O53" i="39"/>
  <c r="N53" i="39"/>
  <c r="P53" i="39" s="1"/>
  <c r="I53" i="39"/>
  <c r="G53" i="39"/>
  <c r="F53" i="39"/>
  <c r="O52" i="39"/>
  <c r="N52" i="39"/>
  <c r="I52" i="39"/>
  <c r="G52" i="39"/>
  <c r="F52" i="39"/>
  <c r="O51" i="39"/>
  <c r="N51" i="39"/>
  <c r="I51" i="39"/>
  <c r="G51" i="39"/>
  <c r="F51" i="39"/>
  <c r="O50" i="39"/>
  <c r="N50" i="39"/>
  <c r="I50" i="39"/>
  <c r="G50" i="39"/>
  <c r="F50" i="39"/>
  <c r="O49" i="39"/>
  <c r="N49" i="39"/>
  <c r="P49" i="39" s="1"/>
  <c r="I49" i="39"/>
  <c r="G49" i="39"/>
  <c r="F49" i="39"/>
  <c r="O48" i="39"/>
  <c r="N48" i="39"/>
  <c r="P48" i="39" s="1"/>
  <c r="I48" i="39"/>
  <c r="G48" i="39"/>
  <c r="F48" i="39"/>
  <c r="O47" i="39"/>
  <c r="N47" i="39"/>
  <c r="P47" i="39" s="1"/>
  <c r="I47" i="39"/>
  <c r="G47" i="39"/>
  <c r="F47" i="39"/>
  <c r="O46" i="39"/>
  <c r="N46" i="39"/>
  <c r="I46" i="39"/>
  <c r="G46" i="39"/>
  <c r="F46" i="39"/>
  <c r="O45" i="39"/>
  <c r="N45" i="39"/>
  <c r="P45" i="39" s="1"/>
  <c r="I45" i="39"/>
  <c r="G45" i="39"/>
  <c r="F45" i="39"/>
  <c r="O44" i="39"/>
  <c r="N44" i="39"/>
  <c r="I44" i="39"/>
  <c r="G44" i="39"/>
  <c r="F44" i="39"/>
  <c r="O43" i="39"/>
  <c r="N43" i="39"/>
  <c r="I43" i="39"/>
  <c r="G43" i="39"/>
  <c r="F43" i="39"/>
  <c r="A43" i="39"/>
  <c r="A44" i="39" s="1"/>
  <c r="A45" i="39" s="1"/>
  <c r="A46" i="39" s="1"/>
  <c r="A47" i="39" s="1"/>
  <c r="A48" i="39" s="1"/>
  <c r="A49" i="39" s="1"/>
  <c r="A50" i="39" s="1"/>
  <c r="A51" i="39" s="1"/>
  <c r="A52" i="39" s="1"/>
  <c r="A53" i="39" s="1"/>
  <c r="A54" i="39" s="1"/>
  <c r="A55" i="39" s="1"/>
  <c r="O42" i="39"/>
  <c r="N42" i="39"/>
  <c r="I42" i="39"/>
  <c r="G42" i="39"/>
  <c r="F42" i="39"/>
  <c r="N40" i="39"/>
  <c r="I40" i="39"/>
  <c r="G40" i="39"/>
  <c r="F40" i="39"/>
  <c r="N39" i="39"/>
  <c r="I39" i="39"/>
  <c r="G39" i="39"/>
  <c r="F39" i="39"/>
  <c r="O38" i="39"/>
  <c r="N38" i="39"/>
  <c r="P38" i="39" s="1"/>
  <c r="I38" i="39"/>
  <c r="G38" i="39"/>
  <c r="F38" i="39"/>
  <c r="O37" i="39"/>
  <c r="N37" i="39"/>
  <c r="I37" i="39"/>
  <c r="G37" i="39"/>
  <c r="F37" i="39"/>
  <c r="O36" i="39"/>
  <c r="N36" i="39"/>
  <c r="P36" i="39" s="1"/>
  <c r="I36" i="39"/>
  <c r="G36" i="39"/>
  <c r="F36" i="39"/>
  <c r="N35" i="39"/>
  <c r="I35" i="39"/>
  <c r="G35" i="39"/>
  <c r="F35" i="39"/>
  <c r="O34" i="39"/>
  <c r="N34" i="39"/>
  <c r="P34" i="39" s="1"/>
  <c r="I34" i="39"/>
  <c r="G34" i="39"/>
  <c r="F34" i="39"/>
  <c r="O33" i="39"/>
  <c r="N33" i="39"/>
  <c r="I33" i="39"/>
  <c r="G33" i="39"/>
  <c r="F33" i="39"/>
  <c r="O32" i="39"/>
  <c r="N32" i="39"/>
  <c r="P32" i="39" s="1"/>
  <c r="I32" i="39"/>
  <c r="Q32" i="39" s="1"/>
  <c r="G32" i="39"/>
  <c r="F32" i="39"/>
  <c r="O31" i="39"/>
  <c r="N31" i="39"/>
  <c r="I31" i="39"/>
  <c r="G31" i="39"/>
  <c r="F31" i="39"/>
  <c r="O30" i="39"/>
  <c r="N30" i="39"/>
  <c r="I30" i="39"/>
  <c r="G30" i="39"/>
  <c r="F30" i="39"/>
  <c r="O29" i="39"/>
  <c r="N29" i="39"/>
  <c r="I29" i="39"/>
  <c r="G29" i="39"/>
  <c r="F29" i="39"/>
  <c r="O28" i="39"/>
  <c r="N28" i="39"/>
  <c r="I28" i="39"/>
  <c r="G28" i="39"/>
  <c r="F28" i="39"/>
  <c r="A28" i="39"/>
  <c r="A29" i="39" s="1"/>
  <c r="A30" i="39" s="1"/>
  <c r="A31" i="39" s="1"/>
  <c r="A32" i="39" s="1"/>
  <c r="A33" i="39" s="1"/>
  <c r="A34" i="39" s="1"/>
  <c r="A35" i="39" s="1"/>
  <c r="A36" i="39" s="1"/>
  <c r="A37" i="39" s="1"/>
  <c r="A38" i="39" s="1"/>
  <c r="A39" i="39" s="1"/>
  <c r="A40" i="39" s="1"/>
  <c r="O27" i="39"/>
  <c r="N27" i="39"/>
  <c r="P27" i="39" s="1"/>
  <c r="I27" i="39"/>
  <c r="G27" i="39"/>
  <c r="F27" i="39"/>
  <c r="O26" i="39"/>
  <c r="O25" i="39"/>
  <c r="N25" i="39"/>
  <c r="P25" i="39" s="1"/>
  <c r="I25" i="39"/>
  <c r="G25" i="39"/>
  <c r="F25" i="39"/>
  <c r="O24" i="39"/>
  <c r="N24" i="39"/>
  <c r="P24" i="39" s="1"/>
  <c r="I24" i="39"/>
  <c r="G24" i="39"/>
  <c r="F24" i="39"/>
  <c r="O23" i="39"/>
  <c r="N23" i="39"/>
  <c r="P23" i="39" s="1"/>
  <c r="I23" i="39"/>
  <c r="G23" i="39"/>
  <c r="F23" i="39"/>
  <c r="O22" i="39"/>
  <c r="O21" i="39"/>
  <c r="N21" i="39"/>
  <c r="P21" i="39" s="1"/>
  <c r="I21" i="39"/>
  <c r="G21" i="39"/>
  <c r="F21" i="39"/>
  <c r="O20" i="39"/>
  <c r="N20" i="39"/>
  <c r="P20" i="39" s="1"/>
  <c r="I20" i="39"/>
  <c r="G20" i="39"/>
  <c r="F20" i="39"/>
  <c r="O19" i="39"/>
  <c r="N19" i="39"/>
  <c r="I19" i="39"/>
  <c r="G19" i="39"/>
  <c r="F19" i="39"/>
  <c r="O18" i="39"/>
  <c r="N18" i="39"/>
  <c r="I18" i="39"/>
  <c r="G18" i="39"/>
  <c r="F18" i="39"/>
  <c r="O17" i="39"/>
  <c r="N17" i="39"/>
  <c r="I17" i="39"/>
  <c r="G17" i="39"/>
  <c r="F17" i="39"/>
  <c r="A17" i="39"/>
  <c r="A18" i="39" s="1"/>
  <c r="A19" i="39" s="1"/>
  <c r="A20" i="39" s="1"/>
  <c r="A21" i="39" s="1"/>
  <c r="O16" i="39"/>
  <c r="N16" i="39"/>
  <c r="I16" i="39"/>
  <c r="F16" i="39"/>
  <c r="J16" i="39" s="1"/>
  <c r="D8" i="39"/>
  <c r="A2" i="39"/>
  <c r="O83" i="38"/>
  <c r="L83" i="38"/>
  <c r="R82" i="38"/>
  <c r="N81" i="38"/>
  <c r="P81" i="38" s="1"/>
  <c r="I81" i="38"/>
  <c r="G81" i="38"/>
  <c r="F81" i="38"/>
  <c r="N80" i="38"/>
  <c r="P80" i="38" s="1"/>
  <c r="I80" i="38"/>
  <c r="G80" i="38"/>
  <c r="F80" i="38"/>
  <c r="N79" i="38"/>
  <c r="I79" i="38"/>
  <c r="G79" i="38"/>
  <c r="F79" i="38"/>
  <c r="N78" i="38"/>
  <c r="P78" i="38" s="1"/>
  <c r="I78" i="38"/>
  <c r="G78" i="38"/>
  <c r="F78" i="38"/>
  <c r="A78" i="38"/>
  <c r="A79" i="38" s="1"/>
  <c r="A80" i="38" s="1"/>
  <c r="O77" i="38"/>
  <c r="N77" i="38"/>
  <c r="I77" i="38"/>
  <c r="G77" i="38"/>
  <c r="F77" i="38"/>
  <c r="N76" i="38"/>
  <c r="P76" i="38" s="1"/>
  <c r="I76" i="38"/>
  <c r="G76" i="38"/>
  <c r="F76" i="38"/>
  <c r="N74" i="38"/>
  <c r="I74" i="38"/>
  <c r="G74" i="38"/>
  <c r="F74" i="38"/>
  <c r="N73" i="38"/>
  <c r="I73" i="38"/>
  <c r="G73" i="38"/>
  <c r="F73" i="38"/>
  <c r="N72" i="38"/>
  <c r="I72" i="38"/>
  <c r="G72" i="38"/>
  <c r="F72" i="38"/>
  <c r="N71" i="38"/>
  <c r="I71" i="38"/>
  <c r="G71" i="38"/>
  <c r="F71" i="38"/>
  <c r="A71" i="38"/>
  <c r="A72" i="38" s="1"/>
  <c r="A73" i="38" s="1"/>
  <c r="A74" i="38" s="1"/>
  <c r="N70" i="38"/>
  <c r="I70" i="38"/>
  <c r="G70" i="38"/>
  <c r="F70" i="38"/>
  <c r="N68" i="38"/>
  <c r="Q68" i="38" s="1"/>
  <c r="I68" i="38"/>
  <c r="G68" i="38"/>
  <c r="F68" i="38"/>
  <c r="N67" i="38"/>
  <c r="I67" i="38"/>
  <c r="G67" i="38"/>
  <c r="F67" i="38"/>
  <c r="N66" i="38"/>
  <c r="Q66" i="38" s="1"/>
  <c r="I66" i="38"/>
  <c r="G66" i="38"/>
  <c r="F66" i="38"/>
  <c r="N65" i="38"/>
  <c r="I65" i="38"/>
  <c r="G65" i="38"/>
  <c r="F65" i="38"/>
  <c r="N64" i="38"/>
  <c r="Q64" i="38" s="1"/>
  <c r="I64" i="38"/>
  <c r="G64" i="38"/>
  <c r="F64" i="38"/>
  <c r="N63" i="38"/>
  <c r="I63" i="38"/>
  <c r="G63" i="38"/>
  <c r="F63" i="38"/>
  <c r="N62" i="38"/>
  <c r="Q62" i="38" s="1"/>
  <c r="I62" i="38"/>
  <c r="G62" i="38"/>
  <c r="F62" i="38"/>
  <c r="N61" i="38"/>
  <c r="I61" i="38"/>
  <c r="G61" i="38"/>
  <c r="F61" i="38"/>
  <c r="N60" i="38"/>
  <c r="Q60" i="38" s="1"/>
  <c r="I60" i="38"/>
  <c r="G60" i="38"/>
  <c r="F60" i="38"/>
  <c r="O59" i="38"/>
  <c r="N59" i="38"/>
  <c r="I59" i="38"/>
  <c r="G59" i="38"/>
  <c r="F59" i="38"/>
  <c r="O58" i="38"/>
  <c r="N58" i="38"/>
  <c r="P58" i="38" s="1"/>
  <c r="I58" i="38"/>
  <c r="G58" i="38"/>
  <c r="F58" i="38"/>
  <c r="A58" i="38"/>
  <c r="A59" i="38" s="1"/>
  <c r="A60" i="38" s="1"/>
  <c r="A61" i="38" s="1"/>
  <c r="A62" i="38" s="1"/>
  <c r="A63" i="38" s="1"/>
  <c r="A64" i="38" s="1"/>
  <c r="A65" i="38" s="1"/>
  <c r="A66" i="38" s="1"/>
  <c r="A67" i="38" s="1"/>
  <c r="A68" i="38" s="1"/>
  <c r="O57" i="38"/>
  <c r="N57" i="38"/>
  <c r="I57" i="38"/>
  <c r="G57" i="38"/>
  <c r="F57" i="38"/>
  <c r="O55" i="38"/>
  <c r="N55" i="38"/>
  <c r="I55" i="38"/>
  <c r="G55" i="38"/>
  <c r="F55" i="38"/>
  <c r="O54" i="38"/>
  <c r="N54" i="38"/>
  <c r="I54" i="38"/>
  <c r="G54" i="38"/>
  <c r="F54" i="38"/>
  <c r="O53" i="38"/>
  <c r="N53" i="38"/>
  <c r="I53" i="38"/>
  <c r="G53" i="38"/>
  <c r="F53" i="38"/>
  <c r="O52" i="38"/>
  <c r="N52" i="38"/>
  <c r="I52" i="38"/>
  <c r="G52" i="38"/>
  <c r="F52" i="38"/>
  <c r="O51" i="38"/>
  <c r="N51" i="38"/>
  <c r="P51" i="38" s="1"/>
  <c r="I51" i="38"/>
  <c r="G51" i="38"/>
  <c r="F51" i="38"/>
  <c r="O50" i="38"/>
  <c r="N50" i="38"/>
  <c r="P50" i="38" s="1"/>
  <c r="I50" i="38"/>
  <c r="G50" i="38"/>
  <c r="F50" i="38"/>
  <c r="O49" i="38"/>
  <c r="N49" i="38"/>
  <c r="I49" i="38"/>
  <c r="G49" i="38"/>
  <c r="F49" i="38"/>
  <c r="O48" i="38"/>
  <c r="N48" i="38"/>
  <c r="P48" i="38" s="1"/>
  <c r="I48" i="38"/>
  <c r="G48" i="38"/>
  <c r="F48" i="38"/>
  <c r="O47" i="38"/>
  <c r="N47" i="38"/>
  <c r="I47" i="38"/>
  <c r="G47" i="38"/>
  <c r="F47" i="38"/>
  <c r="O46" i="38"/>
  <c r="N46" i="38"/>
  <c r="I46" i="38"/>
  <c r="G46" i="38"/>
  <c r="F46" i="38"/>
  <c r="O45" i="38"/>
  <c r="N45" i="38"/>
  <c r="I45" i="38"/>
  <c r="G45" i="38"/>
  <c r="F45" i="38"/>
  <c r="O44" i="38"/>
  <c r="N44" i="38"/>
  <c r="I44" i="38"/>
  <c r="G44" i="38"/>
  <c r="F44" i="38"/>
  <c r="P43" i="38"/>
  <c r="O43" i="38"/>
  <c r="N43" i="38"/>
  <c r="I43" i="38"/>
  <c r="G43" i="38"/>
  <c r="F43" i="38"/>
  <c r="A43" i="38"/>
  <c r="A44" i="38" s="1"/>
  <c r="A45" i="38" s="1"/>
  <c r="A46" i="38" s="1"/>
  <c r="A47" i="38" s="1"/>
  <c r="A48" i="38" s="1"/>
  <c r="A49" i="38" s="1"/>
  <c r="A50" i="38" s="1"/>
  <c r="A51" i="38" s="1"/>
  <c r="A52" i="38" s="1"/>
  <c r="A53" i="38" s="1"/>
  <c r="A54" i="38" s="1"/>
  <c r="A55" i="38" s="1"/>
  <c r="O42" i="38"/>
  <c r="N42" i="38"/>
  <c r="P42" i="38" s="1"/>
  <c r="I42" i="38"/>
  <c r="G42" i="38"/>
  <c r="F42" i="38"/>
  <c r="N40" i="38"/>
  <c r="P40" i="38" s="1"/>
  <c r="I40" i="38"/>
  <c r="G40" i="38"/>
  <c r="F40" i="38"/>
  <c r="Q39" i="38"/>
  <c r="N39" i="38"/>
  <c r="P39" i="38" s="1"/>
  <c r="I39" i="38"/>
  <c r="G39" i="38"/>
  <c r="F39" i="38"/>
  <c r="O38" i="38"/>
  <c r="N38" i="38"/>
  <c r="P38" i="38" s="1"/>
  <c r="I38" i="38"/>
  <c r="G38" i="38"/>
  <c r="F38" i="38"/>
  <c r="O37" i="38"/>
  <c r="N37" i="38"/>
  <c r="I37" i="38"/>
  <c r="G37" i="38"/>
  <c r="F37" i="38"/>
  <c r="O36" i="38"/>
  <c r="N36" i="38"/>
  <c r="P36" i="38" s="1"/>
  <c r="I36" i="38"/>
  <c r="G36" i="38"/>
  <c r="F36" i="38"/>
  <c r="N35" i="38"/>
  <c r="I35" i="38"/>
  <c r="G35" i="38"/>
  <c r="F35" i="38"/>
  <c r="O34" i="38"/>
  <c r="N34" i="38"/>
  <c r="I34" i="38"/>
  <c r="G34" i="38"/>
  <c r="F34" i="38"/>
  <c r="O33" i="38"/>
  <c r="N33" i="38"/>
  <c r="I33" i="38"/>
  <c r="G33" i="38"/>
  <c r="F33" i="38"/>
  <c r="O32" i="38"/>
  <c r="N32" i="38"/>
  <c r="I32" i="38"/>
  <c r="G32" i="38"/>
  <c r="F32" i="38"/>
  <c r="O31" i="38"/>
  <c r="N31" i="38"/>
  <c r="Q31" i="38" s="1"/>
  <c r="I31" i="38"/>
  <c r="G31" i="38"/>
  <c r="F31" i="38"/>
  <c r="O30" i="38"/>
  <c r="N30" i="38"/>
  <c r="I30" i="38"/>
  <c r="G30" i="38"/>
  <c r="F30" i="38"/>
  <c r="O29" i="38"/>
  <c r="N29" i="38"/>
  <c r="P29" i="38" s="1"/>
  <c r="I29" i="38"/>
  <c r="G29" i="38"/>
  <c r="F29" i="38"/>
  <c r="O28" i="38"/>
  <c r="N28" i="38"/>
  <c r="I28" i="38"/>
  <c r="G28" i="38"/>
  <c r="F28" i="38"/>
  <c r="A28" i="38"/>
  <c r="A29" i="38" s="1"/>
  <c r="A30" i="38" s="1"/>
  <c r="A31" i="38" s="1"/>
  <c r="A32" i="38" s="1"/>
  <c r="A33" i="38" s="1"/>
  <c r="A34" i="38" s="1"/>
  <c r="A35" i="38" s="1"/>
  <c r="A36" i="38" s="1"/>
  <c r="A37" i="38" s="1"/>
  <c r="A38" i="38" s="1"/>
  <c r="A39" i="38" s="1"/>
  <c r="A40" i="38" s="1"/>
  <c r="O27" i="38"/>
  <c r="N27" i="38"/>
  <c r="I27" i="38"/>
  <c r="G27" i="38"/>
  <c r="F27" i="38"/>
  <c r="O26" i="38"/>
  <c r="O25" i="38"/>
  <c r="N25" i="38"/>
  <c r="P25" i="38" s="1"/>
  <c r="I25" i="38"/>
  <c r="G25" i="38"/>
  <c r="F25" i="38"/>
  <c r="O24" i="38"/>
  <c r="N24" i="38"/>
  <c r="I24" i="38"/>
  <c r="G24" i="38"/>
  <c r="F24" i="38"/>
  <c r="O23" i="38"/>
  <c r="N23" i="38"/>
  <c r="P23" i="38" s="1"/>
  <c r="I23" i="38"/>
  <c r="G23" i="38"/>
  <c r="F23" i="38"/>
  <c r="O22" i="38"/>
  <c r="O21" i="38"/>
  <c r="N21" i="38"/>
  <c r="I21" i="38"/>
  <c r="G21" i="38"/>
  <c r="F21" i="38"/>
  <c r="O20" i="38"/>
  <c r="N20" i="38"/>
  <c r="I20" i="38"/>
  <c r="G20" i="38"/>
  <c r="F20" i="38"/>
  <c r="O19" i="38"/>
  <c r="N19" i="38"/>
  <c r="I19" i="38"/>
  <c r="G19" i="38"/>
  <c r="F19" i="38"/>
  <c r="O18" i="38"/>
  <c r="N18" i="38"/>
  <c r="P18" i="38" s="1"/>
  <c r="I18" i="38"/>
  <c r="G18" i="38"/>
  <c r="F18" i="38"/>
  <c r="O17" i="38"/>
  <c r="N17" i="38"/>
  <c r="P17" i="38" s="1"/>
  <c r="I17" i="38"/>
  <c r="G17" i="38"/>
  <c r="F17" i="38"/>
  <c r="A17" i="38"/>
  <c r="A18" i="38" s="1"/>
  <c r="A19" i="38" s="1"/>
  <c r="A20" i="38" s="1"/>
  <c r="A21" i="38" s="1"/>
  <c r="O16" i="38"/>
  <c r="N16" i="38"/>
  <c r="I16" i="38"/>
  <c r="F16" i="38"/>
  <c r="D8" i="38"/>
  <c r="A2" i="38"/>
  <c r="Q62" i="39" l="1"/>
  <c r="R65" i="40"/>
  <c r="Q67" i="40"/>
  <c r="R50" i="38"/>
  <c r="R24" i="39"/>
  <c r="R36" i="39"/>
  <c r="Q19" i="39"/>
  <c r="R23" i="39"/>
  <c r="R48" i="39"/>
  <c r="R57" i="39"/>
  <c r="R49" i="40"/>
  <c r="Q25" i="39"/>
  <c r="R81" i="40"/>
  <c r="R40" i="38"/>
  <c r="Q44" i="38"/>
  <c r="Q52" i="38"/>
  <c r="Q61" i="38"/>
  <c r="Q63" i="38"/>
  <c r="Q65" i="38"/>
  <c r="Q67" i="38"/>
  <c r="Q70" i="38"/>
  <c r="R62" i="39"/>
  <c r="R47" i="40"/>
  <c r="R73" i="40"/>
  <c r="R39" i="38"/>
  <c r="Q33" i="39"/>
  <c r="Q49" i="39"/>
  <c r="Q19" i="40"/>
  <c r="R33" i="40"/>
  <c r="R43" i="38"/>
  <c r="Q28" i="38"/>
  <c r="R70" i="40"/>
  <c r="R70" i="39"/>
  <c r="R58" i="40"/>
  <c r="Q60" i="40"/>
  <c r="Q64" i="40"/>
  <c r="Q68" i="40"/>
  <c r="Q17" i="40"/>
  <c r="Q36" i="40"/>
  <c r="Q50" i="40"/>
  <c r="Q36" i="39"/>
  <c r="Q47" i="39"/>
  <c r="Q73" i="40"/>
  <c r="Q44" i="39"/>
  <c r="R55" i="39"/>
  <c r="Q68" i="39"/>
  <c r="R25" i="39"/>
  <c r="Q18" i="38"/>
  <c r="Q59" i="38"/>
  <c r="R78" i="38"/>
  <c r="R80" i="38"/>
  <c r="Q20" i="39"/>
  <c r="R34" i="39"/>
  <c r="Q43" i="39"/>
  <c r="Q58" i="39"/>
  <c r="Q25" i="40"/>
  <c r="R55" i="40"/>
  <c r="R71" i="40"/>
  <c r="Q51" i="38"/>
  <c r="Q53" i="39"/>
  <c r="Q46" i="40"/>
  <c r="R61" i="40"/>
  <c r="Q63" i="40"/>
  <c r="R45" i="39"/>
  <c r="Q59" i="39"/>
  <c r="Q48" i="39"/>
  <c r="R61" i="39"/>
  <c r="R66" i="39"/>
  <c r="Q74" i="39"/>
  <c r="Q21" i="40"/>
  <c r="R25" i="40"/>
  <c r="Q35" i="40"/>
  <c r="Q38" i="40"/>
  <c r="Q44" i="40"/>
  <c r="Q53" i="40"/>
  <c r="R57" i="40"/>
  <c r="P63" i="40"/>
  <c r="Q35" i="38"/>
  <c r="I83" i="39"/>
  <c r="Q38" i="39"/>
  <c r="R47" i="39"/>
  <c r="R58" i="39"/>
  <c r="Q61" i="39"/>
  <c r="Q63" i="39"/>
  <c r="Q66" i="39"/>
  <c r="Q29" i="40"/>
  <c r="Q32" i="40"/>
  <c r="Q37" i="40"/>
  <c r="R40" i="40"/>
  <c r="Q65" i="40"/>
  <c r="Q72" i="40"/>
  <c r="R64" i="39"/>
  <c r="R74" i="39"/>
  <c r="Q78" i="39"/>
  <c r="Q19" i="38"/>
  <c r="Q31" i="39"/>
  <c r="R38" i="39"/>
  <c r="R65" i="39"/>
  <c r="R73" i="39"/>
  <c r="Q79" i="39"/>
  <c r="Q20" i="40"/>
  <c r="R24" i="40"/>
  <c r="R34" i="40"/>
  <c r="Q43" i="40"/>
  <c r="Q52" i="40"/>
  <c r="R59" i="40"/>
  <c r="Q62" i="40"/>
  <c r="Q74" i="40"/>
  <c r="R77" i="40"/>
  <c r="Q80" i="39"/>
  <c r="Q30" i="38"/>
  <c r="R77" i="39"/>
  <c r="Q37" i="38"/>
  <c r="Q47" i="38"/>
  <c r="Q37" i="39"/>
  <c r="R71" i="39"/>
  <c r="R81" i="39"/>
  <c r="R17" i="38"/>
  <c r="Q29" i="38"/>
  <c r="Q43" i="38"/>
  <c r="P44" i="38"/>
  <c r="R44" i="38" s="1"/>
  <c r="Q50" i="38"/>
  <c r="R21" i="39"/>
  <c r="Q28" i="39"/>
  <c r="Q46" i="39"/>
  <c r="Q52" i="39"/>
  <c r="Q60" i="39"/>
  <c r="Q65" i="39"/>
  <c r="Q67" i="39"/>
  <c r="Q76" i="39"/>
  <c r="Q28" i="40"/>
  <c r="Q31" i="40"/>
  <c r="R36" i="40"/>
  <c r="Q49" i="40"/>
  <c r="P67" i="40"/>
  <c r="Q27" i="38"/>
  <c r="Q33" i="38"/>
  <c r="Q30" i="40"/>
  <c r="Q66" i="40"/>
  <c r="Q76" i="40"/>
  <c r="R81" i="38"/>
  <c r="I83" i="38"/>
  <c r="Q27" i="39"/>
  <c r="P37" i="39"/>
  <c r="R37" i="39" s="1"/>
  <c r="Q23" i="40"/>
  <c r="Q39" i="40"/>
  <c r="Q42" i="40"/>
  <c r="Q45" i="40"/>
  <c r="R48" i="40"/>
  <c r="Q54" i="40"/>
  <c r="Q59" i="40"/>
  <c r="Q61" i="40"/>
  <c r="Q70" i="40"/>
  <c r="Q38" i="38"/>
  <c r="Q42" i="38"/>
  <c r="Q49" i="38"/>
  <c r="Q57" i="38"/>
  <c r="Q79" i="38"/>
  <c r="Q81" i="38"/>
  <c r="Q18" i="39"/>
  <c r="Q30" i="39"/>
  <c r="Q51" i="39"/>
  <c r="Q54" i="39"/>
  <c r="Q70" i="39"/>
  <c r="Q73" i="39"/>
  <c r="Q81" i="39"/>
  <c r="R23" i="40"/>
  <c r="Q48" i="40"/>
  <c r="Q58" i="40"/>
  <c r="P62" i="40"/>
  <c r="R62" i="40" s="1"/>
  <c r="P66" i="40"/>
  <c r="R66" i="40" s="1"/>
  <c r="P72" i="40"/>
  <c r="R72" i="40" s="1"/>
  <c r="P19" i="38"/>
  <c r="R19" i="38" s="1"/>
  <c r="Q71" i="40"/>
  <c r="Q73" i="38"/>
  <c r="Q17" i="39"/>
  <c r="R32" i="39"/>
  <c r="Q42" i="39"/>
  <c r="P60" i="39"/>
  <c r="R60" i="39" s="1"/>
  <c r="P68" i="39"/>
  <c r="R68" i="39" s="1"/>
  <c r="Q51" i="40"/>
  <c r="Q17" i="38"/>
  <c r="P31" i="38"/>
  <c r="R31" i="38" s="1"/>
  <c r="R36" i="38"/>
  <c r="Q55" i="38"/>
  <c r="Q24" i="39"/>
  <c r="R27" i="39"/>
  <c r="Q34" i="39"/>
  <c r="Q35" i="39"/>
  <c r="Q45" i="39"/>
  <c r="Q57" i="39"/>
  <c r="Q64" i="39"/>
  <c r="Q72" i="39"/>
  <c r="N83" i="40"/>
  <c r="P21" i="40"/>
  <c r="R21" i="40" s="1"/>
  <c r="P28" i="40"/>
  <c r="R28" i="40" s="1"/>
  <c r="Q34" i="40"/>
  <c r="P42" i="40"/>
  <c r="R42" i="40" s="1"/>
  <c r="P46" i="40"/>
  <c r="R46" i="40" s="1"/>
  <c r="P54" i="40"/>
  <c r="R54" i="40" s="1"/>
  <c r="Q40" i="38"/>
  <c r="R48" i="38"/>
  <c r="Q71" i="38"/>
  <c r="N83" i="39"/>
  <c r="Q83" i="39" s="1"/>
  <c r="R20" i="39"/>
  <c r="Q29" i="39"/>
  <c r="Q39" i="39"/>
  <c r="Q50" i="39"/>
  <c r="R72" i="39"/>
  <c r="Q18" i="40"/>
  <c r="R27" i="40"/>
  <c r="R29" i="40"/>
  <c r="R25" i="38"/>
  <c r="R29" i="38"/>
  <c r="P30" i="38"/>
  <c r="R30" i="38" s="1"/>
  <c r="P52" i="38"/>
  <c r="R52" i="38" s="1"/>
  <c r="P16" i="39"/>
  <c r="P17" i="39"/>
  <c r="R17" i="39" s="1"/>
  <c r="Q23" i="39"/>
  <c r="P28" i="39"/>
  <c r="R28" i="39" s="1"/>
  <c r="P29" i="39"/>
  <c r="R29" i="39" s="1"/>
  <c r="P42" i="39"/>
  <c r="R42" i="39" s="1"/>
  <c r="P50" i="39"/>
  <c r="R50" i="39" s="1"/>
  <c r="Q55" i="39"/>
  <c r="P59" i="39"/>
  <c r="R59" i="39" s="1"/>
  <c r="R63" i="39"/>
  <c r="R67" i="39"/>
  <c r="Q77" i="39"/>
  <c r="Q24" i="40"/>
  <c r="Q27" i="40"/>
  <c r="P38" i="40"/>
  <c r="R38" i="40" s="1"/>
  <c r="R60" i="40"/>
  <c r="R64" i="40"/>
  <c r="R68" i="40"/>
  <c r="R18" i="38"/>
  <c r="R51" i="38"/>
  <c r="R49" i="39"/>
  <c r="R17" i="40"/>
  <c r="R37" i="40"/>
  <c r="R50" i="40"/>
  <c r="Q57" i="40"/>
  <c r="P74" i="40"/>
  <c r="R74" i="40" s="1"/>
  <c r="Q78" i="40"/>
  <c r="Q80" i="40"/>
  <c r="Q34" i="38"/>
  <c r="R76" i="38"/>
  <c r="Q16" i="39"/>
  <c r="Q24" i="38"/>
  <c r="R38" i="38"/>
  <c r="R42" i="38"/>
  <c r="R58" i="38"/>
  <c r="Q72" i="38"/>
  <c r="Q74" i="38"/>
  <c r="Q77" i="38"/>
  <c r="Q40" i="39"/>
  <c r="Q71" i="39"/>
  <c r="I83" i="40"/>
  <c r="F83" i="40"/>
  <c r="Q33" i="40"/>
  <c r="Q47" i="40"/>
  <c r="Q55" i="40"/>
  <c r="R63" i="40"/>
  <c r="R67" i="40"/>
  <c r="Q77" i="40"/>
  <c r="Q81" i="40"/>
  <c r="Q79" i="40"/>
  <c r="S50" i="29"/>
  <c r="S51" i="29" s="1"/>
  <c r="S52" i="29" s="1"/>
  <c r="S53" i="29" s="1"/>
  <c r="S54" i="29" s="1"/>
  <c r="J7" i="29"/>
  <c r="S7" i="29" s="1"/>
  <c r="J15" i="29"/>
  <c r="S15" i="29" s="1"/>
  <c r="J11" i="29"/>
  <c r="S11" i="29" s="1"/>
  <c r="J12" i="29"/>
  <c r="S12" i="29" s="1"/>
  <c r="J8" i="29"/>
  <c r="S8" i="29" s="1"/>
  <c r="J9" i="29"/>
  <c r="S9" i="29" s="1"/>
  <c r="J10" i="29"/>
  <c r="S10" i="29" s="1"/>
  <c r="J6" i="29"/>
  <c r="S6" i="29" s="1"/>
  <c r="J13" i="29"/>
  <c r="S13" i="29" s="1"/>
  <c r="J14" i="29"/>
  <c r="S14" i="29" s="1"/>
  <c r="P39" i="40"/>
  <c r="R39" i="40" s="1"/>
  <c r="R16" i="40"/>
  <c r="P18" i="40"/>
  <c r="R18" i="40" s="1"/>
  <c r="P30" i="40"/>
  <c r="R30" i="40" s="1"/>
  <c r="Q40" i="40"/>
  <c r="P43" i="40"/>
  <c r="R43" i="40" s="1"/>
  <c r="P51" i="40"/>
  <c r="R51" i="40" s="1"/>
  <c r="P19" i="40"/>
  <c r="R19" i="40" s="1"/>
  <c r="P31" i="40"/>
  <c r="R31" i="40" s="1"/>
  <c r="P44" i="40"/>
  <c r="R44" i="40" s="1"/>
  <c r="P52" i="40"/>
  <c r="R52" i="40" s="1"/>
  <c r="P20" i="40"/>
  <c r="R20" i="40" s="1"/>
  <c r="P32" i="40"/>
  <c r="R32" i="40" s="1"/>
  <c r="P45" i="40"/>
  <c r="R45" i="40" s="1"/>
  <c r="P53" i="40"/>
  <c r="R53" i="40" s="1"/>
  <c r="P35" i="40"/>
  <c r="R35" i="40" s="1"/>
  <c r="P76" i="40"/>
  <c r="R76" i="40" s="1"/>
  <c r="P78" i="40"/>
  <c r="R78" i="40" s="1"/>
  <c r="P79" i="40"/>
  <c r="R79" i="40" s="1"/>
  <c r="P80" i="40"/>
  <c r="R80" i="40" s="1"/>
  <c r="P39" i="39"/>
  <c r="R39" i="39" s="1"/>
  <c r="P40" i="39"/>
  <c r="R40" i="39" s="1"/>
  <c r="F83" i="39"/>
  <c r="R16" i="39"/>
  <c r="P18" i="39"/>
  <c r="R18" i="39" s="1"/>
  <c r="P30" i="39"/>
  <c r="R30" i="39" s="1"/>
  <c r="P43" i="39"/>
  <c r="R43" i="39" s="1"/>
  <c r="P51" i="39"/>
  <c r="R51" i="39" s="1"/>
  <c r="P19" i="39"/>
  <c r="R19" i="39" s="1"/>
  <c r="P31" i="39"/>
  <c r="R31" i="39" s="1"/>
  <c r="P44" i="39"/>
  <c r="R44" i="39" s="1"/>
  <c r="P52" i="39"/>
  <c r="R52" i="39" s="1"/>
  <c r="P33" i="39"/>
  <c r="R33" i="39" s="1"/>
  <c r="P46" i="39"/>
  <c r="R46" i="39" s="1"/>
  <c r="P54" i="39"/>
  <c r="R54" i="39" s="1"/>
  <c r="Q21" i="39"/>
  <c r="P35" i="39"/>
  <c r="R35" i="39" s="1"/>
  <c r="R53" i="39"/>
  <c r="P76" i="39"/>
  <c r="R76" i="39" s="1"/>
  <c r="P78" i="39"/>
  <c r="R78" i="39" s="1"/>
  <c r="P79" i="39"/>
  <c r="R79" i="39" s="1"/>
  <c r="P80" i="39"/>
  <c r="R80" i="39" s="1"/>
  <c r="F83" i="38"/>
  <c r="J16" i="38"/>
  <c r="R23" i="38"/>
  <c r="P32" i="38"/>
  <c r="R32" i="38" s="1"/>
  <c r="Q32" i="38"/>
  <c r="Q54" i="38"/>
  <c r="N83" i="38"/>
  <c r="Q83" i="38" s="1"/>
  <c r="Q46" i="38"/>
  <c r="P21" i="38"/>
  <c r="R21" i="38" s="1"/>
  <c r="Q21" i="38"/>
  <c r="P53" i="38"/>
  <c r="R53" i="38" s="1"/>
  <c r="Q53" i="38"/>
  <c r="Q20" i="38"/>
  <c r="P20" i="38"/>
  <c r="R20" i="38" s="1"/>
  <c r="P45" i="38"/>
  <c r="R45" i="38" s="1"/>
  <c r="Q45" i="38"/>
  <c r="P33" i="38"/>
  <c r="R33" i="38" s="1"/>
  <c r="P54" i="38"/>
  <c r="R54" i="38" s="1"/>
  <c r="P24" i="38"/>
  <c r="R24" i="38" s="1"/>
  <c r="P34" i="38"/>
  <c r="R34" i="38" s="1"/>
  <c r="P35" i="38"/>
  <c r="R35" i="38" s="1"/>
  <c r="P77" i="38"/>
  <c r="R77" i="38" s="1"/>
  <c r="P79" i="38"/>
  <c r="R79" i="38" s="1"/>
  <c r="Q23" i="38"/>
  <c r="Q25" i="38"/>
  <c r="P27" i="38"/>
  <c r="R27" i="38" s="1"/>
  <c r="P70" i="38"/>
  <c r="R70" i="38" s="1"/>
  <c r="P71" i="38"/>
  <c r="R71" i="38" s="1"/>
  <c r="P72" i="38"/>
  <c r="R72" i="38" s="1"/>
  <c r="P73" i="38"/>
  <c r="R73" i="38" s="1"/>
  <c r="P74" i="38"/>
  <c r="R74" i="38" s="1"/>
  <c r="Q76" i="38"/>
  <c r="Q78" i="38"/>
  <c r="Q80" i="38"/>
  <c r="P16" i="38"/>
  <c r="P28" i="38"/>
  <c r="R28" i="38" s="1"/>
  <c r="Q36" i="38"/>
  <c r="P37" i="38"/>
  <c r="R37" i="38" s="1"/>
  <c r="Q48" i="38"/>
  <c r="P49" i="38"/>
  <c r="R49" i="38" s="1"/>
  <c r="Q58" i="38"/>
  <c r="P59" i="38"/>
  <c r="R59" i="38" s="1"/>
  <c r="P60" i="38"/>
  <c r="R60" i="38" s="1"/>
  <c r="P61" i="38"/>
  <c r="R61" i="38" s="1"/>
  <c r="P62" i="38"/>
  <c r="R62" i="38" s="1"/>
  <c r="P63" i="38"/>
  <c r="R63" i="38" s="1"/>
  <c r="P64" i="38"/>
  <c r="R64" i="38" s="1"/>
  <c r="P65" i="38"/>
  <c r="R65" i="38" s="1"/>
  <c r="P66" i="38"/>
  <c r="R66" i="38" s="1"/>
  <c r="P67" i="38"/>
  <c r="R67" i="38" s="1"/>
  <c r="P68" i="38"/>
  <c r="R68" i="38" s="1"/>
  <c r="P46" i="38"/>
  <c r="R46" i="38" s="1"/>
  <c r="P47" i="38"/>
  <c r="R47" i="38" s="1"/>
  <c r="P55" i="38"/>
  <c r="R55" i="38" s="1"/>
  <c r="P57" i="38"/>
  <c r="R57" i="38" s="1"/>
  <c r="Q16" i="38"/>
  <c r="A2" i="30"/>
  <c r="A2" i="36"/>
  <c r="A2" i="35"/>
  <c r="A2" i="34"/>
  <c r="A2" i="32"/>
  <c r="A2" i="31"/>
  <c r="A2" i="37"/>
  <c r="O83" i="37"/>
  <c r="L83" i="37"/>
  <c r="R82" i="37"/>
  <c r="D8" i="37"/>
  <c r="AO16" i="24"/>
  <c r="AQ16" i="24" s="1"/>
  <c r="AO17" i="24"/>
  <c r="AQ17" i="24" s="1"/>
  <c r="AO18" i="24"/>
  <c r="AQ18" i="24" s="1"/>
  <c r="AJ83" i="24"/>
  <c r="AG83" i="24"/>
  <c r="K13" i="29" s="1"/>
  <c r="L13" i="29" s="1"/>
  <c r="AD83" i="24"/>
  <c r="D19" i="29" l="1"/>
  <c r="O13" i="29"/>
  <c r="I83" i="37"/>
  <c r="F83" i="37"/>
  <c r="Q83" i="40"/>
  <c r="K14" i="29"/>
  <c r="M13" i="29"/>
  <c r="P13" i="29" s="1"/>
  <c r="P83" i="40"/>
  <c r="P83" i="39"/>
  <c r="P83" i="38"/>
  <c r="R16" i="38"/>
  <c r="N83" i="37"/>
  <c r="N18" i="35"/>
  <c r="Q83" i="37" l="1"/>
  <c r="O14" i="29"/>
  <c r="L14" i="29"/>
  <c r="M14" i="29" s="1"/>
  <c r="P14" i="29" s="1"/>
  <c r="P83" i="37"/>
  <c r="F38" i="24"/>
  <c r="I38" i="24"/>
  <c r="J38" i="24"/>
  <c r="AO38" i="24"/>
  <c r="AQ38" i="24" s="1"/>
  <c r="F39" i="24"/>
  <c r="I39" i="24"/>
  <c r="J39" i="24"/>
  <c r="AO39" i="24"/>
  <c r="AQ39" i="24" s="1"/>
  <c r="F40" i="24"/>
  <c r="I40" i="24"/>
  <c r="J40" i="24"/>
  <c r="AO40" i="24"/>
  <c r="AQ40" i="24" s="1"/>
  <c r="S39" i="24" l="1"/>
  <c r="Y39" i="24"/>
  <c r="AE39" i="24"/>
  <c r="M39" i="24"/>
  <c r="AB39" i="24"/>
  <c r="V39" i="24"/>
  <c r="AH39" i="24"/>
  <c r="P39" i="24"/>
  <c r="AN39" i="24"/>
  <c r="AK39" i="24"/>
  <c r="AR39" i="24"/>
  <c r="S38" i="24"/>
  <c r="P38" i="24"/>
  <c r="AK38" i="24"/>
  <c r="Y38" i="24"/>
  <c r="AN38" i="24"/>
  <c r="AE38" i="24"/>
  <c r="AB38" i="24"/>
  <c r="M38" i="24"/>
  <c r="AH38" i="24"/>
  <c r="V38" i="24"/>
  <c r="AR38" i="24"/>
  <c r="AN40" i="24"/>
  <c r="S40" i="24"/>
  <c r="M40" i="24"/>
  <c r="AH40" i="24"/>
  <c r="V40" i="24"/>
  <c r="AK40" i="24"/>
  <c r="P40" i="24"/>
  <c r="AE40" i="24"/>
  <c r="AB40" i="24"/>
  <c r="Y40" i="24"/>
  <c r="AR40" i="24"/>
  <c r="AT40" i="24"/>
  <c r="AU40" i="24" s="1"/>
  <c r="AT39" i="24"/>
  <c r="AU39" i="24" s="1"/>
  <c r="F70" i="24"/>
  <c r="I70" i="24"/>
  <c r="J70" i="24"/>
  <c r="AO70" i="24"/>
  <c r="AQ70" i="24" s="1"/>
  <c r="A71" i="24"/>
  <c r="A72" i="24" s="1"/>
  <c r="A73" i="24" s="1"/>
  <c r="A74" i="24" s="1"/>
  <c r="F71" i="24"/>
  <c r="I71" i="24"/>
  <c r="J71" i="24"/>
  <c r="AO71" i="24"/>
  <c r="AQ71" i="24" s="1"/>
  <c r="F72" i="24"/>
  <c r="I72" i="24"/>
  <c r="J72" i="24"/>
  <c r="AO72" i="24"/>
  <c r="AQ72" i="24" s="1"/>
  <c r="F73" i="24"/>
  <c r="I73" i="24"/>
  <c r="J73" i="24"/>
  <c r="AO73" i="24"/>
  <c r="AQ73" i="24" s="1"/>
  <c r="F74" i="24"/>
  <c r="I74" i="24"/>
  <c r="J74" i="24"/>
  <c r="AO74" i="24"/>
  <c r="AQ74" i="24" s="1"/>
  <c r="S72" i="24" l="1"/>
  <c r="AN72" i="24"/>
  <c r="AH72" i="24"/>
  <c r="AB72" i="24"/>
  <c r="M72" i="24"/>
  <c r="V72" i="24"/>
  <c r="P72" i="24"/>
  <c r="AK72" i="24"/>
  <c r="Y72" i="24"/>
  <c r="AE72" i="24"/>
  <c r="AR72" i="24"/>
  <c r="AK70" i="24"/>
  <c r="M70" i="24"/>
  <c r="P70" i="24"/>
  <c r="AE70" i="24"/>
  <c r="AN70" i="24"/>
  <c r="V70" i="24"/>
  <c r="AH70" i="24"/>
  <c r="AB70" i="24"/>
  <c r="Y70" i="24"/>
  <c r="S70" i="24"/>
  <c r="AR70" i="24"/>
  <c r="Y71" i="24"/>
  <c r="S71" i="24"/>
  <c r="M71" i="24"/>
  <c r="AB71" i="24"/>
  <c r="V71" i="24"/>
  <c r="AE71" i="24"/>
  <c r="AN71" i="24"/>
  <c r="AH71" i="24"/>
  <c r="P71" i="24"/>
  <c r="AK71" i="24"/>
  <c r="AR71" i="24"/>
  <c r="AN74" i="24"/>
  <c r="P74" i="24"/>
  <c r="AH74" i="24"/>
  <c r="Y74" i="24"/>
  <c r="S74" i="24"/>
  <c r="AK74" i="24"/>
  <c r="M74" i="24"/>
  <c r="AB74" i="24"/>
  <c r="AE74" i="24"/>
  <c r="V74" i="24"/>
  <c r="AR74" i="24"/>
  <c r="Y73" i="24"/>
  <c r="AH73" i="24"/>
  <c r="S73" i="24"/>
  <c r="AB73" i="24"/>
  <c r="V73" i="24"/>
  <c r="AK73" i="24"/>
  <c r="AE73" i="24"/>
  <c r="P73" i="24"/>
  <c r="AN73" i="24"/>
  <c r="M73" i="24"/>
  <c r="AR73" i="24"/>
  <c r="AT38" i="24"/>
  <c r="AU38" i="24" s="1"/>
  <c r="F76" i="24"/>
  <c r="I76" i="24"/>
  <c r="J76" i="24"/>
  <c r="AO76" i="24"/>
  <c r="AQ76" i="24" s="1"/>
  <c r="F77" i="24"/>
  <c r="I77" i="24"/>
  <c r="J77" i="24"/>
  <c r="A78" i="24"/>
  <c r="A79" i="24" s="1"/>
  <c r="A80" i="24" s="1"/>
  <c r="F78" i="24"/>
  <c r="I78" i="24"/>
  <c r="J78" i="24"/>
  <c r="AO78" i="24"/>
  <c r="AQ78" i="24" s="1"/>
  <c r="F79" i="24"/>
  <c r="I79" i="24"/>
  <c r="J79" i="24"/>
  <c r="AO79" i="24"/>
  <c r="AQ79" i="24" s="1"/>
  <c r="F80" i="24"/>
  <c r="I80" i="24"/>
  <c r="J80" i="24"/>
  <c r="AO80" i="24"/>
  <c r="AQ80" i="24" s="1"/>
  <c r="F81" i="24"/>
  <c r="I81" i="24"/>
  <c r="J81" i="24"/>
  <c r="AO81" i="24"/>
  <c r="AQ81" i="24" s="1"/>
  <c r="N18" i="32"/>
  <c r="N16" i="31"/>
  <c r="AO77" i="24" l="1"/>
  <c r="AQ77" i="24" s="1"/>
  <c r="L77" i="24"/>
  <c r="AE81" i="24"/>
  <c r="Y81" i="24"/>
  <c r="S81" i="24"/>
  <c r="AN81" i="24"/>
  <c r="AH81" i="24"/>
  <c r="AB81" i="24"/>
  <c r="V81" i="24"/>
  <c r="P81" i="24"/>
  <c r="AK81" i="24"/>
  <c r="M81" i="24"/>
  <c r="AR81" i="24"/>
  <c r="V77" i="24"/>
  <c r="P77" i="24"/>
  <c r="AK77" i="24"/>
  <c r="AE77" i="24"/>
  <c r="Y77" i="24"/>
  <c r="S77" i="24"/>
  <c r="AN77" i="24"/>
  <c r="AH77" i="24"/>
  <c r="AB77" i="24"/>
  <c r="S79" i="24"/>
  <c r="V79" i="24"/>
  <c r="AK79" i="24"/>
  <c r="M79" i="24"/>
  <c r="AB79" i="24"/>
  <c r="AE79" i="24"/>
  <c r="AN79" i="24"/>
  <c r="P79" i="24"/>
  <c r="AH79" i="24"/>
  <c r="Y79" i="24"/>
  <c r="AR79" i="24"/>
  <c r="AN80" i="24"/>
  <c r="Y80" i="24"/>
  <c r="S80" i="24"/>
  <c r="M80" i="24"/>
  <c r="AB80" i="24"/>
  <c r="AH80" i="24"/>
  <c r="AK80" i="24"/>
  <c r="P80" i="24"/>
  <c r="AE80" i="24"/>
  <c r="V80" i="24"/>
  <c r="AR80" i="24"/>
  <c r="AK78" i="24"/>
  <c r="P78" i="24"/>
  <c r="AE78" i="24"/>
  <c r="Y78" i="24"/>
  <c r="AB78" i="24"/>
  <c r="M78" i="24"/>
  <c r="AN78" i="24"/>
  <c r="AH78" i="24"/>
  <c r="V78" i="24"/>
  <c r="S78" i="24"/>
  <c r="AR78" i="24"/>
  <c r="AB76" i="24"/>
  <c r="V76" i="24"/>
  <c r="P76" i="24"/>
  <c r="AK76" i="24"/>
  <c r="Y76" i="24"/>
  <c r="AE76" i="24"/>
  <c r="AH76" i="24"/>
  <c r="M76" i="24"/>
  <c r="AN76" i="24"/>
  <c r="S76" i="24"/>
  <c r="AR76" i="24"/>
  <c r="AT72" i="24"/>
  <c r="AU72" i="24" s="1"/>
  <c r="AT73" i="24"/>
  <c r="AU73" i="24" s="1"/>
  <c r="AT70" i="24"/>
  <c r="AU70" i="24" s="1"/>
  <c r="AT71" i="24"/>
  <c r="AU71" i="24" s="1"/>
  <c r="AT74" i="24"/>
  <c r="AU74" i="24" s="1"/>
  <c r="AT76" i="24"/>
  <c r="AU76" i="24" s="1"/>
  <c r="L10" i="25"/>
  <c r="M77" i="24" l="1"/>
  <c r="AP77" i="24"/>
  <c r="AT81" i="24"/>
  <c r="AU81" i="24" s="1"/>
  <c r="AT79" i="24"/>
  <c r="AU79" i="24" s="1"/>
  <c r="AT78" i="24"/>
  <c r="AU78" i="24" s="1"/>
  <c r="AT80" i="24"/>
  <c r="AU80" i="24" s="1"/>
  <c r="AR77" i="24" l="1"/>
  <c r="AT77" i="24"/>
  <c r="AU77" i="24" s="1"/>
  <c r="S5" i="29"/>
  <c r="K12" i="29"/>
  <c r="L12" i="29" l="1"/>
  <c r="A5" i="25"/>
  <c r="S22" i="34" l="1"/>
  <c r="S26" i="34"/>
  <c r="S41" i="34"/>
  <c r="S56" i="34"/>
  <c r="S69" i="34"/>
  <c r="S75" i="34"/>
  <c r="N25" i="35"/>
  <c r="O83" i="36"/>
  <c r="R82" i="36"/>
  <c r="Q82" i="36"/>
  <c r="O81" i="36"/>
  <c r="N81" i="36"/>
  <c r="I81" i="36"/>
  <c r="G81" i="36"/>
  <c r="F81" i="36"/>
  <c r="O80" i="36"/>
  <c r="N80" i="36"/>
  <c r="Q80" i="36" s="1"/>
  <c r="I80" i="36"/>
  <c r="G80" i="36"/>
  <c r="F80" i="36"/>
  <c r="O79" i="36"/>
  <c r="N79" i="36"/>
  <c r="I79" i="36"/>
  <c r="G79" i="36"/>
  <c r="F79" i="36"/>
  <c r="O78" i="36"/>
  <c r="N78" i="36"/>
  <c r="I78" i="36"/>
  <c r="G78" i="36"/>
  <c r="F78" i="36"/>
  <c r="A78" i="36"/>
  <c r="A79" i="36" s="1"/>
  <c r="A80" i="36" s="1"/>
  <c r="O77" i="36"/>
  <c r="N77" i="36"/>
  <c r="Q77" i="36" s="1"/>
  <c r="I77" i="36"/>
  <c r="G77" i="36"/>
  <c r="F77" i="36"/>
  <c r="O76" i="36"/>
  <c r="N76" i="36"/>
  <c r="I76" i="36"/>
  <c r="G76" i="36"/>
  <c r="F76" i="36"/>
  <c r="O74" i="36"/>
  <c r="N74" i="36"/>
  <c r="I74" i="36"/>
  <c r="G74" i="36"/>
  <c r="F74" i="36"/>
  <c r="O73" i="36"/>
  <c r="N73" i="36"/>
  <c r="I73" i="36"/>
  <c r="G73" i="36"/>
  <c r="F73" i="36"/>
  <c r="O72" i="36"/>
  <c r="N72" i="36"/>
  <c r="I72" i="36"/>
  <c r="G72" i="36"/>
  <c r="F72" i="36"/>
  <c r="O71" i="36"/>
  <c r="N71" i="36"/>
  <c r="I71" i="36"/>
  <c r="G71" i="36"/>
  <c r="F71" i="36"/>
  <c r="A71" i="36"/>
  <c r="A72" i="36" s="1"/>
  <c r="A73" i="36" s="1"/>
  <c r="A74" i="36" s="1"/>
  <c r="O70" i="36"/>
  <c r="N70" i="36"/>
  <c r="I70" i="36"/>
  <c r="G70" i="36"/>
  <c r="F70" i="36"/>
  <c r="O68" i="36"/>
  <c r="N68" i="36"/>
  <c r="I68" i="36"/>
  <c r="G68" i="36"/>
  <c r="F68" i="36"/>
  <c r="O67" i="36"/>
  <c r="N67" i="36"/>
  <c r="I67" i="36"/>
  <c r="G67" i="36"/>
  <c r="F67" i="36"/>
  <c r="O66" i="36"/>
  <c r="N66" i="36"/>
  <c r="I66" i="36"/>
  <c r="G66" i="36"/>
  <c r="F66" i="36"/>
  <c r="O65" i="36"/>
  <c r="N65" i="36"/>
  <c r="I65" i="36"/>
  <c r="G65" i="36"/>
  <c r="F65" i="36"/>
  <c r="O64" i="36"/>
  <c r="N64" i="36"/>
  <c r="I64" i="36"/>
  <c r="G64" i="36"/>
  <c r="F64" i="36"/>
  <c r="O63" i="36"/>
  <c r="N63" i="36"/>
  <c r="I63" i="36"/>
  <c r="G63" i="36"/>
  <c r="F63" i="36"/>
  <c r="O62" i="36"/>
  <c r="N62" i="36"/>
  <c r="I62" i="36"/>
  <c r="G62" i="36"/>
  <c r="F62" i="36"/>
  <c r="O61" i="36"/>
  <c r="N61" i="36"/>
  <c r="I61" i="36"/>
  <c r="G61" i="36"/>
  <c r="F61" i="36"/>
  <c r="O60" i="36"/>
  <c r="N60" i="36"/>
  <c r="I60" i="36"/>
  <c r="G60" i="36"/>
  <c r="F60" i="36"/>
  <c r="O59" i="36"/>
  <c r="N59" i="36"/>
  <c r="I59" i="36"/>
  <c r="G59" i="36"/>
  <c r="F59" i="36"/>
  <c r="O58" i="36"/>
  <c r="N58" i="36"/>
  <c r="I58" i="36"/>
  <c r="G58" i="36"/>
  <c r="F58" i="36"/>
  <c r="A58" i="36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O57" i="36"/>
  <c r="N57" i="36"/>
  <c r="I57" i="36"/>
  <c r="G57" i="36"/>
  <c r="F57" i="36"/>
  <c r="O55" i="36"/>
  <c r="N55" i="36"/>
  <c r="I55" i="36"/>
  <c r="G55" i="36"/>
  <c r="F55" i="36"/>
  <c r="O54" i="36"/>
  <c r="N54" i="36"/>
  <c r="I54" i="36"/>
  <c r="G54" i="36"/>
  <c r="F54" i="36"/>
  <c r="O53" i="36"/>
  <c r="N53" i="36"/>
  <c r="I53" i="36"/>
  <c r="G53" i="36"/>
  <c r="F53" i="36"/>
  <c r="O52" i="36"/>
  <c r="N52" i="36"/>
  <c r="I52" i="36"/>
  <c r="G52" i="36"/>
  <c r="F52" i="36"/>
  <c r="O51" i="36"/>
  <c r="N51" i="36"/>
  <c r="I51" i="36"/>
  <c r="G51" i="36"/>
  <c r="F51" i="36"/>
  <c r="O50" i="36"/>
  <c r="N50" i="36"/>
  <c r="I50" i="36"/>
  <c r="G50" i="36"/>
  <c r="F50" i="36"/>
  <c r="O49" i="36"/>
  <c r="N49" i="36"/>
  <c r="I49" i="36"/>
  <c r="G49" i="36"/>
  <c r="F49" i="36"/>
  <c r="O48" i="36"/>
  <c r="N48" i="36"/>
  <c r="I48" i="36"/>
  <c r="G48" i="36"/>
  <c r="F48" i="36"/>
  <c r="O47" i="36"/>
  <c r="N47" i="36"/>
  <c r="I47" i="36"/>
  <c r="G47" i="36"/>
  <c r="F47" i="36"/>
  <c r="O46" i="36"/>
  <c r="N46" i="36"/>
  <c r="I46" i="36"/>
  <c r="G46" i="36"/>
  <c r="F46" i="36"/>
  <c r="O45" i="36"/>
  <c r="N45" i="36"/>
  <c r="I45" i="36"/>
  <c r="G45" i="36"/>
  <c r="F45" i="36"/>
  <c r="O44" i="36"/>
  <c r="N44" i="36"/>
  <c r="I44" i="36"/>
  <c r="G44" i="36"/>
  <c r="F44" i="36"/>
  <c r="O43" i="36"/>
  <c r="N43" i="36"/>
  <c r="I43" i="36"/>
  <c r="G43" i="36"/>
  <c r="F43" i="36"/>
  <c r="A43" i="36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O42" i="36"/>
  <c r="N42" i="36"/>
  <c r="I42" i="36"/>
  <c r="G42" i="36"/>
  <c r="F42" i="36"/>
  <c r="O40" i="36"/>
  <c r="N40" i="36"/>
  <c r="I40" i="36"/>
  <c r="G40" i="36"/>
  <c r="F40" i="36"/>
  <c r="O39" i="36"/>
  <c r="N39" i="36"/>
  <c r="I39" i="36"/>
  <c r="G39" i="36"/>
  <c r="F39" i="36"/>
  <c r="O38" i="36"/>
  <c r="N38" i="36"/>
  <c r="Q38" i="36" s="1"/>
  <c r="I38" i="36"/>
  <c r="G38" i="36"/>
  <c r="F38" i="36"/>
  <c r="O37" i="36"/>
  <c r="N37" i="36"/>
  <c r="I37" i="36"/>
  <c r="G37" i="36"/>
  <c r="F37" i="36"/>
  <c r="O36" i="36"/>
  <c r="N36" i="36"/>
  <c r="I36" i="36"/>
  <c r="G36" i="36"/>
  <c r="F36" i="36"/>
  <c r="O35" i="36"/>
  <c r="N35" i="36"/>
  <c r="I35" i="36"/>
  <c r="G35" i="36"/>
  <c r="F35" i="36"/>
  <c r="O34" i="36"/>
  <c r="N34" i="36"/>
  <c r="I34" i="36"/>
  <c r="G34" i="36"/>
  <c r="F34" i="36"/>
  <c r="O33" i="36"/>
  <c r="N33" i="36"/>
  <c r="Q33" i="36" s="1"/>
  <c r="I33" i="36"/>
  <c r="G33" i="36"/>
  <c r="F33" i="36"/>
  <c r="O32" i="36"/>
  <c r="N32" i="36"/>
  <c r="I32" i="36"/>
  <c r="G32" i="36"/>
  <c r="F32" i="36"/>
  <c r="O31" i="36"/>
  <c r="N31" i="36"/>
  <c r="I31" i="36"/>
  <c r="G31" i="36"/>
  <c r="F31" i="36"/>
  <c r="O30" i="36"/>
  <c r="N30" i="36"/>
  <c r="Q30" i="36" s="1"/>
  <c r="I30" i="36"/>
  <c r="G30" i="36"/>
  <c r="F30" i="36"/>
  <c r="O29" i="36"/>
  <c r="N29" i="36"/>
  <c r="I29" i="36"/>
  <c r="G29" i="36"/>
  <c r="F29" i="36"/>
  <c r="O28" i="36"/>
  <c r="N28" i="36"/>
  <c r="I28" i="36"/>
  <c r="G28" i="36"/>
  <c r="F28" i="36"/>
  <c r="A28" i="36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O27" i="36"/>
  <c r="N27" i="36"/>
  <c r="I27" i="36"/>
  <c r="G27" i="36"/>
  <c r="F27" i="36"/>
  <c r="O25" i="36"/>
  <c r="N25" i="36"/>
  <c r="I25" i="36"/>
  <c r="G25" i="36"/>
  <c r="F25" i="36"/>
  <c r="O24" i="36"/>
  <c r="N24" i="36"/>
  <c r="I24" i="36"/>
  <c r="G24" i="36"/>
  <c r="F24" i="36"/>
  <c r="O23" i="36"/>
  <c r="N23" i="36"/>
  <c r="I23" i="36"/>
  <c r="G23" i="36"/>
  <c r="F23" i="36"/>
  <c r="O21" i="36"/>
  <c r="N21" i="36"/>
  <c r="I21" i="36"/>
  <c r="G21" i="36"/>
  <c r="F21" i="36"/>
  <c r="O20" i="36"/>
  <c r="N20" i="36"/>
  <c r="I20" i="36"/>
  <c r="G20" i="36"/>
  <c r="F20" i="36"/>
  <c r="O19" i="36"/>
  <c r="N19" i="36"/>
  <c r="I19" i="36"/>
  <c r="G19" i="36"/>
  <c r="F19" i="36"/>
  <c r="O18" i="36"/>
  <c r="N18" i="36"/>
  <c r="I18" i="36"/>
  <c r="G18" i="36"/>
  <c r="F18" i="36"/>
  <c r="O17" i="36"/>
  <c r="N17" i="36"/>
  <c r="Q17" i="36" s="1"/>
  <c r="I17" i="36"/>
  <c r="G17" i="36"/>
  <c r="F17" i="36"/>
  <c r="A17" i="36"/>
  <c r="A18" i="36" s="1"/>
  <c r="A19" i="36" s="1"/>
  <c r="A20" i="36" s="1"/>
  <c r="A21" i="36" s="1"/>
  <c r="O16" i="36"/>
  <c r="N16" i="36"/>
  <c r="I16" i="36"/>
  <c r="F16" i="36"/>
  <c r="D8" i="36"/>
  <c r="O81" i="35"/>
  <c r="O80" i="35"/>
  <c r="O79" i="35"/>
  <c r="O78" i="35"/>
  <c r="O77" i="35"/>
  <c r="O76" i="35"/>
  <c r="O74" i="35"/>
  <c r="O73" i="35"/>
  <c r="O72" i="35"/>
  <c r="O71" i="35"/>
  <c r="O70" i="35"/>
  <c r="O68" i="35"/>
  <c r="O67" i="35"/>
  <c r="O66" i="35"/>
  <c r="O65" i="35"/>
  <c r="O64" i="35"/>
  <c r="O63" i="35"/>
  <c r="O62" i="35"/>
  <c r="O61" i="35"/>
  <c r="O60" i="35"/>
  <c r="O59" i="35"/>
  <c r="O58" i="35"/>
  <c r="O57" i="35"/>
  <c r="O55" i="35"/>
  <c r="O54" i="35"/>
  <c r="O53" i="35"/>
  <c r="O52" i="35"/>
  <c r="O51" i="35"/>
  <c r="O50" i="35"/>
  <c r="O49" i="35"/>
  <c r="O48" i="35"/>
  <c r="O47" i="35"/>
  <c r="O46" i="35"/>
  <c r="O45" i="35"/>
  <c r="O44" i="35"/>
  <c r="O43" i="35"/>
  <c r="O42" i="35"/>
  <c r="O40" i="35"/>
  <c r="O39" i="35"/>
  <c r="O38" i="35"/>
  <c r="O37" i="35"/>
  <c r="O36" i="35"/>
  <c r="O35" i="35"/>
  <c r="O34" i="35"/>
  <c r="O33" i="35"/>
  <c r="O32" i="35"/>
  <c r="O31" i="35"/>
  <c r="O30" i="35"/>
  <c r="O29" i="35"/>
  <c r="O28" i="35"/>
  <c r="O27" i="35"/>
  <c r="O25" i="35"/>
  <c r="O24" i="35"/>
  <c r="O23" i="35"/>
  <c r="O21" i="35"/>
  <c r="O20" i="35"/>
  <c r="O19" i="35"/>
  <c r="O18" i="35"/>
  <c r="O17" i="35"/>
  <c r="O16" i="35"/>
  <c r="O81" i="34"/>
  <c r="O80" i="34"/>
  <c r="O79" i="34"/>
  <c r="O78" i="34"/>
  <c r="O77" i="34"/>
  <c r="O76" i="34"/>
  <c r="O74" i="34"/>
  <c r="O73" i="34"/>
  <c r="O72" i="34"/>
  <c r="O71" i="34"/>
  <c r="O70" i="34"/>
  <c r="O68" i="34"/>
  <c r="O67" i="34"/>
  <c r="O66" i="34"/>
  <c r="O65" i="34"/>
  <c r="O64" i="34"/>
  <c r="O63" i="34"/>
  <c r="O62" i="34"/>
  <c r="O61" i="34"/>
  <c r="O60" i="34"/>
  <c r="O59" i="34"/>
  <c r="O58" i="34"/>
  <c r="O57" i="34"/>
  <c r="O55" i="34"/>
  <c r="O54" i="34"/>
  <c r="O53" i="34"/>
  <c r="O52" i="34"/>
  <c r="O51" i="34"/>
  <c r="O50" i="34"/>
  <c r="O49" i="34"/>
  <c r="O48" i="34"/>
  <c r="O47" i="34"/>
  <c r="O46" i="34"/>
  <c r="O45" i="34"/>
  <c r="O44" i="34"/>
  <c r="O43" i="34"/>
  <c r="O42" i="34"/>
  <c r="O40" i="34"/>
  <c r="O39" i="34"/>
  <c r="O38" i="34"/>
  <c r="O37" i="34"/>
  <c r="O36" i="34"/>
  <c r="O35" i="34"/>
  <c r="O34" i="34"/>
  <c r="O33" i="34"/>
  <c r="O32" i="34"/>
  <c r="O31" i="34"/>
  <c r="O30" i="34"/>
  <c r="O29" i="34"/>
  <c r="O28" i="34"/>
  <c r="O27" i="34"/>
  <c r="O25" i="34"/>
  <c r="O24" i="34"/>
  <c r="O23" i="34"/>
  <c r="O21" i="34"/>
  <c r="O20" i="34"/>
  <c r="O19" i="34"/>
  <c r="O18" i="34"/>
  <c r="O17" i="34"/>
  <c r="O16" i="34"/>
  <c r="O81" i="32"/>
  <c r="O80" i="32"/>
  <c r="O79" i="32"/>
  <c r="O78" i="32"/>
  <c r="O77" i="32"/>
  <c r="O76" i="32"/>
  <c r="O74" i="32"/>
  <c r="O73" i="32"/>
  <c r="O72" i="32"/>
  <c r="O71" i="32"/>
  <c r="O70" i="32"/>
  <c r="O68" i="32"/>
  <c r="O67" i="32"/>
  <c r="O66" i="32"/>
  <c r="O65" i="32"/>
  <c r="O64" i="32"/>
  <c r="O63" i="32"/>
  <c r="O62" i="32"/>
  <c r="O61" i="32"/>
  <c r="O60" i="32"/>
  <c r="O59" i="32"/>
  <c r="O58" i="32"/>
  <c r="O57" i="32"/>
  <c r="O55" i="32"/>
  <c r="O54" i="32"/>
  <c r="O53" i="32"/>
  <c r="O52" i="32"/>
  <c r="O51" i="32"/>
  <c r="O50" i="32"/>
  <c r="O49" i="32"/>
  <c r="O48" i="32"/>
  <c r="O47" i="32"/>
  <c r="O46" i="32"/>
  <c r="O45" i="32"/>
  <c r="O44" i="32"/>
  <c r="O43" i="32"/>
  <c r="O42" i="32"/>
  <c r="O40" i="32"/>
  <c r="O39" i="32"/>
  <c r="O38" i="32"/>
  <c r="O37" i="32"/>
  <c r="O36" i="32"/>
  <c r="O35" i="32"/>
  <c r="O34" i="32"/>
  <c r="O33" i="32"/>
  <c r="O32" i="32"/>
  <c r="O31" i="32"/>
  <c r="O30" i="32"/>
  <c r="O29" i="32"/>
  <c r="O28" i="32"/>
  <c r="O27" i="32"/>
  <c r="O25" i="32"/>
  <c r="O24" i="32"/>
  <c r="O23" i="32"/>
  <c r="O21" i="32"/>
  <c r="O20" i="32"/>
  <c r="O19" i="32"/>
  <c r="O18" i="32"/>
  <c r="O17" i="32"/>
  <c r="O16" i="32"/>
  <c r="O81" i="31"/>
  <c r="O80" i="31"/>
  <c r="O79" i="31"/>
  <c r="O78" i="31"/>
  <c r="O77" i="31"/>
  <c r="O76" i="31"/>
  <c r="O74" i="31"/>
  <c r="O73" i="31"/>
  <c r="O72" i="31"/>
  <c r="O71" i="31"/>
  <c r="O70" i="31"/>
  <c r="O68" i="31"/>
  <c r="O67" i="31"/>
  <c r="O66" i="31"/>
  <c r="O65" i="31"/>
  <c r="O64" i="31"/>
  <c r="O63" i="31"/>
  <c r="O62" i="31"/>
  <c r="O61" i="31"/>
  <c r="O60" i="31"/>
  <c r="O59" i="31"/>
  <c r="O58" i="31"/>
  <c r="O57" i="31"/>
  <c r="O55" i="31"/>
  <c r="O54" i="31"/>
  <c r="O53" i="31"/>
  <c r="O52" i="31"/>
  <c r="O51" i="31"/>
  <c r="O50" i="31"/>
  <c r="O49" i="31"/>
  <c r="O48" i="31"/>
  <c r="O47" i="31"/>
  <c r="O46" i="31"/>
  <c r="O45" i="31"/>
  <c r="O44" i="31"/>
  <c r="O43" i="31"/>
  <c r="O42" i="31"/>
  <c r="O40" i="31"/>
  <c r="O39" i="31"/>
  <c r="O38" i="31"/>
  <c r="O37" i="31"/>
  <c r="O36" i="31"/>
  <c r="O35" i="31"/>
  <c r="O34" i="31"/>
  <c r="O33" i="31"/>
  <c r="O32" i="31"/>
  <c r="O31" i="31"/>
  <c r="O30" i="31"/>
  <c r="O29" i="31"/>
  <c r="O28" i="31"/>
  <c r="O27" i="31"/>
  <c r="O25" i="31"/>
  <c r="O24" i="31"/>
  <c r="O23" i="31"/>
  <c r="O21" i="31"/>
  <c r="O20" i="31"/>
  <c r="O19" i="31"/>
  <c r="O18" i="31"/>
  <c r="O17" i="31"/>
  <c r="O16" i="31"/>
  <c r="N81" i="35"/>
  <c r="N80" i="35"/>
  <c r="N79" i="35"/>
  <c r="N78" i="35"/>
  <c r="N77" i="35"/>
  <c r="N76" i="35"/>
  <c r="N74" i="35"/>
  <c r="N73" i="35"/>
  <c r="N72" i="35"/>
  <c r="N71" i="35"/>
  <c r="N70" i="35"/>
  <c r="N68" i="35"/>
  <c r="N67" i="35"/>
  <c r="N66" i="35"/>
  <c r="N65" i="35"/>
  <c r="N64" i="35"/>
  <c r="N63" i="35"/>
  <c r="N62" i="35"/>
  <c r="N61" i="35"/>
  <c r="N60" i="35"/>
  <c r="N59" i="35"/>
  <c r="N58" i="35"/>
  <c r="N57" i="35"/>
  <c r="N55" i="35"/>
  <c r="N54" i="35"/>
  <c r="N53" i="35"/>
  <c r="N52" i="35"/>
  <c r="N51" i="35"/>
  <c r="N50" i="35"/>
  <c r="N49" i="35"/>
  <c r="N48" i="35"/>
  <c r="N47" i="35"/>
  <c r="N46" i="35"/>
  <c r="N45" i="35"/>
  <c r="N44" i="35"/>
  <c r="N43" i="35"/>
  <c r="N42" i="35"/>
  <c r="N40" i="35"/>
  <c r="N39" i="35"/>
  <c r="N38" i="35"/>
  <c r="N37" i="35"/>
  <c r="N36" i="35"/>
  <c r="N35" i="35"/>
  <c r="N34" i="35"/>
  <c r="N33" i="35"/>
  <c r="N32" i="35"/>
  <c r="N31" i="35"/>
  <c r="N30" i="35"/>
  <c r="N29" i="35"/>
  <c r="N28" i="35"/>
  <c r="N27" i="35"/>
  <c r="N24" i="35"/>
  <c r="N23" i="35"/>
  <c r="N21" i="35"/>
  <c r="N20" i="35"/>
  <c r="N19" i="35"/>
  <c r="P18" i="35"/>
  <c r="N17" i="35"/>
  <c r="N16" i="35"/>
  <c r="P16" i="31"/>
  <c r="N27" i="34"/>
  <c r="N25" i="34"/>
  <c r="N27" i="32"/>
  <c r="N25" i="32"/>
  <c r="N24" i="32"/>
  <c r="N81" i="34"/>
  <c r="N80" i="34"/>
  <c r="N79" i="34"/>
  <c r="N78" i="34"/>
  <c r="N77" i="34"/>
  <c r="N76" i="34"/>
  <c r="N74" i="34"/>
  <c r="N73" i="34"/>
  <c r="N72" i="34"/>
  <c r="N71" i="34"/>
  <c r="N70" i="34"/>
  <c r="N68" i="34"/>
  <c r="N67" i="34"/>
  <c r="N66" i="34"/>
  <c r="N65" i="34"/>
  <c r="N64" i="34"/>
  <c r="N63" i="34"/>
  <c r="N62" i="34"/>
  <c r="N61" i="34"/>
  <c r="N60" i="34"/>
  <c r="N59" i="34"/>
  <c r="N58" i="34"/>
  <c r="N57" i="34"/>
  <c r="N55" i="34"/>
  <c r="N54" i="34"/>
  <c r="N53" i="34"/>
  <c r="N52" i="34"/>
  <c r="N51" i="34"/>
  <c r="N50" i="34"/>
  <c r="N49" i="34"/>
  <c r="N48" i="34"/>
  <c r="N47" i="34"/>
  <c r="N46" i="34"/>
  <c r="N45" i="34"/>
  <c r="N44" i="34"/>
  <c r="N43" i="34"/>
  <c r="N42" i="34"/>
  <c r="N40" i="34"/>
  <c r="N39" i="34"/>
  <c r="N38" i="34"/>
  <c r="N37" i="34"/>
  <c r="N36" i="34"/>
  <c r="N35" i="34"/>
  <c r="N34" i="34"/>
  <c r="N33" i="34"/>
  <c r="N32" i="34"/>
  <c r="N31" i="34"/>
  <c r="N30" i="34"/>
  <c r="N29" i="34"/>
  <c r="N28" i="34"/>
  <c r="N24" i="34"/>
  <c r="N23" i="34"/>
  <c r="N21" i="34"/>
  <c r="N20" i="34"/>
  <c r="N19" i="34"/>
  <c r="N18" i="34"/>
  <c r="N17" i="34"/>
  <c r="N16" i="34"/>
  <c r="N81" i="32"/>
  <c r="N80" i="32"/>
  <c r="N79" i="32"/>
  <c r="N78" i="32"/>
  <c r="N77" i="32"/>
  <c r="N76" i="32"/>
  <c r="N74" i="32"/>
  <c r="N73" i="32"/>
  <c r="N72" i="32"/>
  <c r="N71" i="32"/>
  <c r="N70" i="32"/>
  <c r="N68" i="32"/>
  <c r="N67" i="32"/>
  <c r="N66" i="32"/>
  <c r="N65" i="32"/>
  <c r="N64" i="32"/>
  <c r="N63" i="32"/>
  <c r="N62" i="32"/>
  <c r="N61" i="32"/>
  <c r="N60" i="32"/>
  <c r="N59" i="32"/>
  <c r="N58" i="32"/>
  <c r="N57" i="32"/>
  <c r="N55" i="32"/>
  <c r="N54" i="32"/>
  <c r="N53" i="32"/>
  <c r="N52" i="32"/>
  <c r="N51" i="32"/>
  <c r="N50" i="32"/>
  <c r="N49" i="32"/>
  <c r="N48" i="32"/>
  <c r="N47" i="32"/>
  <c r="N46" i="32"/>
  <c r="N45" i="32"/>
  <c r="N44" i="32"/>
  <c r="N43" i="32"/>
  <c r="N42" i="32"/>
  <c r="N40" i="32"/>
  <c r="N39" i="32"/>
  <c r="N38" i="32"/>
  <c r="N37" i="32"/>
  <c r="N36" i="32"/>
  <c r="N35" i="32"/>
  <c r="N34" i="32"/>
  <c r="N33" i="32"/>
  <c r="N32" i="32"/>
  <c r="N31" i="32"/>
  <c r="N30" i="32"/>
  <c r="N29" i="32"/>
  <c r="N28" i="32"/>
  <c r="N23" i="32"/>
  <c r="N21" i="32"/>
  <c r="N20" i="32"/>
  <c r="N19" i="32"/>
  <c r="P18" i="32"/>
  <c r="N17" i="32"/>
  <c r="N16" i="32"/>
  <c r="O83" i="35"/>
  <c r="R82" i="35"/>
  <c r="Q82" i="35"/>
  <c r="I81" i="35"/>
  <c r="G81" i="35"/>
  <c r="F81" i="35"/>
  <c r="I80" i="35"/>
  <c r="G80" i="35"/>
  <c r="F80" i="35"/>
  <c r="I79" i="35"/>
  <c r="G79" i="35"/>
  <c r="F79" i="35"/>
  <c r="I78" i="35"/>
  <c r="G78" i="35"/>
  <c r="F78" i="35"/>
  <c r="A78" i="35"/>
  <c r="A79" i="35" s="1"/>
  <c r="A80" i="35" s="1"/>
  <c r="I77" i="35"/>
  <c r="G77" i="35"/>
  <c r="F77" i="35"/>
  <c r="I76" i="35"/>
  <c r="G76" i="35"/>
  <c r="F76" i="35"/>
  <c r="I74" i="35"/>
  <c r="G74" i="35"/>
  <c r="F74" i="35"/>
  <c r="I73" i="35"/>
  <c r="G73" i="35"/>
  <c r="F73" i="35"/>
  <c r="I72" i="35"/>
  <c r="G72" i="35"/>
  <c r="F72" i="35"/>
  <c r="I71" i="35"/>
  <c r="G71" i="35"/>
  <c r="F71" i="35"/>
  <c r="A71" i="35"/>
  <c r="A72" i="35" s="1"/>
  <c r="A73" i="35" s="1"/>
  <c r="A74" i="35" s="1"/>
  <c r="I70" i="35"/>
  <c r="G70" i="35"/>
  <c r="F70" i="35"/>
  <c r="I68" i="35"/>
  <c r="G68" i="35"/>
  <c r="F68" i="35"/>
  <c r="I67" i="35"/>
  <c r="G67" i="35"/>
  <c r="F67" i="35"/>
  <c r="I66" i="35"/>
  <c r="G66" i="35"/>
  <c r="F66" i="35"/>
  <c r="I65" i="35"/>
  <c r="G65" i="35"/>
  <c r="F65" i="35"/>
  <c r="I64" i="35"/>
  <c r="G64" i="35"/>
  <c r="F64" i="35"/>
  <c r="I63" i="35"/>
  <c r="G63" i="35"/>
  <c r="F63" i="35"/>
  <c r="I62" i="35"/>
  <c r="G62" i="35"/>
  <c r="F62" i="35"/>
  <c r="I61" i="35"/>
  <c r="G61" i="35"/>
  <c r="F61" i="35"/>
  <c r="I60" i="35"/>
  <c r="G60" i="35"/>
  <c r="F60" i="35"/>
  <c r="I59" i="35"/>
  <c r="G59" i="35"/>
  <c r="F59" i="35"/>
  <c r="I58" i="35"/>
  <c r="G58" i="35"/>
  <c r="F58" i="35"/>
  <c r="A58" i="35"/>
  <c r="A59" i="35" s="1"/>
  <c r="A60" i="35" s="1"/>
  <c r="A61" i="35" s="1"/>
  <c r="A62" i="35" s="1"/>
  <c r="A63" i="35" s="1"/>
  <c r="A64" i="35" s="1"/>
  <c r="A65" i="35" s="1"/>
  <c r="A66" i="35" s="1"/>
  <c r="A67" i="35" s="1"/>
  <c r="A68" i="35" s="1"/>
  <c r="I57" i="35"/>
  <c r="G57" i="35"/>
  <c r="F57" i="35"/>
  <c r="I55" i="35"/>
  <c r="G55" i="35"/>
  <c r="F55" i="35"/>
  <c r="I54" i="35"/>
  <c r="G54" i="35"/>
  <c r="F54" i="35"/>
  <c r="I53" i="35"/>
  <c r="G53" i="35"/>
  <c r="F53" i="35"/>
  <c r="I52" i="35"/>
  <c r="G52" i="35"/>
  <c r="F52" i="35"/>
  <c r="I51" i="35"/>
  <c r="G51" i="35"/>
  <c r="F51" i="35"/>
  <c r="I50" i="35"/>
  <c r="G50" i="35"/>
  <c r="F50" i="35"/>
  <c r="I49" i="35"/>
  <c r="G49" i="35"/>
  <c r="F49" i="35"/>
  <c r="I48" i="35"/>
  <c r="G48" i="35"/>
  <c r="F48" i="35"/>
  <c r="I47" i="35"/>
  <c r="G47" i="35"/>
  <c r="F47" i="35"/>
  <c r="I46" i="35"/>
  <c r="G46" i="35"/>
  <c r="F46" i="35"/>
  <c r="I45" i="35"/>
  <c r="G45" i="35"/>
  <c r="F45" i="35"/>
  <c r="I44" i="35"/>
  <c r="G44" i="35"/>
  <c r="F44" i="35"/>
  <c r="I43" i="35"/>
  <c r="G43" i="35"/>
  <c r="F43" i="35"/>
  <c r="A43" i="35"/>
  <c r="A44" i="35" s="1"/>
  <c r="A45" i="35" s="1"/>
  <c r="A46" i="35" s="1"/>
  <c r="A47" i="35" s="1"/>
  <c r="A48" i="35" s="1"/>
  <c r="A49" i="35" s="1"/>
  <c r="A50" i="35" s="1"/>
  <c r="A51" i="35" s="1"/>
  <c r="A52" i="35" s="1"/>
  <c r="A53" i="35" s="1"/>
  <c r="A54" i="35" s="1"/>
  <c r="A55" i="35" s="1"/>
  <c r="I42" i="35"/>
  <c r="G42" i="35"/>
  <c r="F42" i="35"/>
  <c r="I40" i="35"/>
  <c r="G40" i="35"/>
  <c r="F40" i="35"/>
  <c r="I39" i="35"/>
  <c r="G39" i="35"/>
  <c r="F39" i="35"/>
  <c r="I38" i="35"/>
  <c r="G38" i="35"/>
  <c r="F38" i="35"/>
  <c r="I37" i="35"/>
  <c r="G37" i="35"/>
  <c r="F37" i="35"/>
  <c r="I36" i="35"/>
  <c r="G36" i="35"/>
  <c r="F36" i="35"/>
  <c r="I35" i="35"/>
  <c r="G35" i="35"/>
  <c r="F35" i="35"/>
  <c r="I34" i="35"/>
  <c r="G34" i="35"/>
  <c r="F34" i="35"/>
  <c r="I33" i="35"/>
  <c r="G33" i="35"/>
  <c r="F33" i="35"/>
  <c r="I32" i="35"/>
  <c r="G32" i="35"/>
  <c r="F32" i="35"/>
  <c r="I31" i="35"/>
  <c r="G31" i="35"/>
  <c r="F31" i="35"/>
  <c r="I30" i="35"/>
  <c r="G30" i="35"/>
  <c r="F30" i="35"/>
  <c r="I29" i="35"/>
  <c r="G29" i="35"/>
  <c r="F29" i="35"/>
  <c r="I28" i="35"/>
  <c r="G28" i="35"/>
  <c r="F28" i="35"/>
  <c r="A28" i="35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I27" i="35"/>
  <c r="G27" i="35"/>
  <c r="F27" i="35"/>
  <c r="I25" i="35"/>
  <c r="G25" i="35"/>
  <c r="F25" i="35"/>
  <c r="I24" i="35"/>
  <c r="G24" i="35"/>
  <c r="F24" i="35"/>
  <c r="I23" i="35"/>
  <c r="G23" i="35"/>
  <c r="F23" i="35"/>
  <c r="I21" i="35"/>
  <c r="G21" i="35"/>
  <c r="F21" i="35"/>
  <c r="I20" i="35"/>
  <c r="G20" i="35"/>
  <c r="F20" i="35"/>
  <c r="I19" i="35"/>
  <c r="G19" i="35"/>
  <c r="F19" i="35"/>
  <c r="I18" i="35"/>
  <c r="Q18" i="35" s="1"/>
  <c r="G18" i="35"/>
  <c r="F18" i="35"/>
  <c r="I17" i="35"/>
  <c r="G17" i="35"/>
  <c r="F17" i="35"/>
  <c r="A17" i="35"/>
  <c r="A18" i="35" s="1"/>
  <c r="A19" i="35" s="1"/>
  <c r="A20" i="35" s="1"/>
  <c r="A21" i="35" s="1"/>
  <c r="I16" i="35"/>
  <c r="F16" i="35"/>
  <c r="D8" i="35"/>
  <c r="O83" i="34"/>
  <c r="Q82" i="34"/>
  <c r="I81" i="34"/>
  <c r="G81" i="34"/>
  <c r="F81" i="34"/>
  <c r="I80" i="34"/>
  <c r="G80" i="34"/>
  <c r="F80" i="34"/>
  <c r="I79" i="34"/>
  <c r="G79" i="34"/>
  <c r="F79" i="34"/>
  <c r="I78" i="34"/>
  <c r="G78" i="34"/>
  <c r="F78" i="34"/>
  <c r="A78" i="34"/>
  <c r="A79" i="34" s="1"/>
  <c r="A80" i="34" s="1"/>
  <c r="I77" i="34"/>
  <c r="G77" i="34"/>
  <c r="F77" i="34"/>
  <c r="I76" i="34"/>
  <c r="G76" i="34"/>
  <c r="F76" i="34"/>
  <c r="I74" i="34"/>
  <c r="G74" i="34"/>
  <c r="F74" i="34"/>
  <c r="I73" i="34"/>
  <c r="G73" i="34"/>
  <c r="F73" i="34"/>
  <c r="I72" i="34"/>
  <c r="G72" i="34"/>
  <c r="F72" i="34"/>
  <c r="I71" i="34"/>
  <c r="G71" i="34"/>
  <c r="F71" i="34"/>
  <c r="A71" i="34"/>
  <c r="A72" i="34" s="1"/>
  <c r="A73" i="34" s="1"/>
  <c r="A74" i="34" s="1"/>
  <c r="I70" i="34"/>
  <c r="G70" i="34"/>
  <c r="F70" i="34"/>
  <c r="I68" i="34"/>
  <c r="G68" i="34"/>
  <c r="F68" i="34"/>
  <c r="I67" i="34"/>
  <c r="G67" i="34"/>
  <c r="F67" i="34"/>
  <c r="I66" i="34"/>
  <c r="G66" i="34"/>
  <c r="F66" i="34"/>
  <c r="I65" i="34"/>
  <c r="G65" i="34"/>
  <c r="F65" i="34"/>
  <c r="I64" i="34"/>
  <c r="G64" i="34"/>
  <c r="F64" i="34"/>
  <c r="I63" i="34"/>
  <c r="G63" i="34"/>
  <c r="F63" i="34"/>
  <c r="I62" i="34"/>
  <c r="G62" i="34"/>
  <c r="F62" i="34"/>
  <c r="I61" i="34"/>
  <c r="G61" i="34"/>
  <c r="F61" i="34"/>
  <c r="I60" i="34"/>
  <c r="G60" i="34"/>
  <c r="F60" i="34"/>
  <c r="I59" i="34"/>
  <c r="G59" i="34"/>
  <c r="F59" i="34"/>
  <c r="I58" i="34"/>
  <c r="G58" i="34"/>
  <c r="F58" i="34"/>
  <c r="A58" i="34"/>
  <c r="A59" i="34" s="1"/>
  <c r="A60" i="34" s="1"/>
  <c r="A61" i="34" s="1"/>
  <c r="A62" i="34" s="1"/>
  <c r="A63" i="34" s="1"/>
  <c r="A64" i="34" s="1"/>
  <c r="A65" i="34" s="1"/>
  <c r="A66" i="34" s="1"/>
  <c r="A67" i="34" s="1"/>
  <c r="A68" i="34" s="1"/>
  <c r="I57" i="34"/>
  <c r="G57" i="34"/>
  <c r="F57" i="34"/>
  <c r="I55" i="34"/>
  <c r="G55" i="34"/>
  <c r="F55" i="34"/>
  <c r="I54" i="34"/>
  <c r="G54" i="34"/>
  <c r="F54" i="34"/>
  <c r="I53" i="34"/>
  <c r="G53" i="34"/>
  <c r="F53" i="34"/>
  <c r="I52" i="34"/>
  <c r="G52" i="34"/>
  <c r="F52" i="34"/>
  <c r="I51" i="34"/>
  <c r="G51" i="34"/>
  <c r="F51" i="34"/>
  <c r="I50" i="34"/>
  <c r="G50" i="34"/>
  <c r="F50" i="34"/>
  <c r="I49" i="34"/>
  <c r="G49" i="34"/>
  <c r="F49" i="34"/>
  <c r="I48" i="34"/>
  <c r="G48" i="34"/>
  <c r="F48" i="34"/>
  <c r="I47" i="34"/>
  <c r="G47" i="34"/>
  <c r="F47" i="34"/>
  <c r="I46" i="34"/>
  <c r="G46" i="34"/>
  <c r="F46" i="34"/>
  <c r="I45" i="34"/>
  <c r="G45" i="34"/>
  <c r="F45" i="34"/>
  <c r="I44" i="34"/>
  <c r="G44" i="34"/>
  <c r="F44" i="34"/>
  <c r="I43" i="34"/>
  <c r="G43" i="34"/>
  <c r="F43" i="34"/>
  <c r="A43" i="34"/>
  <c r="A44" i="34" s="1"/>
  <c r="A45" i="34" s="1"/>
  <c r="A46" i="34" s="1"/>
  <c r="A47" i="34" s="1"/>
  <c r="A48" i="34" s="1"/>
  <c r="A49" i="34" s="1"/>
  <c r="A50" i="34" s="1"/>
  <c r="A51" i="34" s="1"/>
  <c r="A52" i="34" s="1"/>
  <c r="A53" i="34" s="1"/>
  <c r="A54" i="34" s="1"/>
  <c r="A55" i="34" s="1"/>
  <c r="I42" i="34"/>
  <c r="G42" i="34"/>
  <c r="F42" i="34"/>
  <c r="I40" i="34"/>
  <c r="G40" i="34"/>
  <c r="F40" i="34"/>
  <c r="I39" i="34"/>
  <c r="G39" i="34"/>
  <c r="F39" i="34"/>
  <c r="I38" i="34"/>
  <c r="G38" i="34"/>
  <c r="F38" i="34"/>
  <c r="I37" i="34"/>
  <c r="G37" i="34"/>
  <c r="F37" i="34"/>
  <c r="I36" i="34"/>
  <c r="G36" i="34"/>
  <c r="F36" i="34"/>
  <c r="I35" i="34"/>
  <c r="G35" i="34"/>
  <c r="F35" i="34"/>
  <c r="I34" i="34"/>
  <c r="G34" i="34"/>
  <c r="F34" i="34"/>
  <c r="I33" i="34"/>
  <c r="G33" i="34"/>
  <c r="F33" i="34"/>
  <c r="I32" i="34"/>
  <c r="G32" i="34"/>
  <c r="F32" i="34"/>
  <c r="I31" i="34"/>
  <c r="G31" i="34"/>
  <c r="F31" i="34"/>
  <c r="I30" i="34"/>
  <c r="G30" i="34"/>
  <c r="F30" i="34"/>
  <c r="I29" i="34"/>
  <c r="G29" i="34"/>
  <c r="F29" i="34"/>
  <c r="I28" i="34"/>
  <c r="G28" i="34"/>
  <c r="F28" i="34"/>
  <c r="A28" i="34"/>
  <c r="A29" i="34" s="1"/>
  <c r="A30" i="34" s="1"/>
  <c r="A31" i="34" s="1"/>
  <c r="A32" i="34" s="1"/>
  <c r="A33" i="34" s="1"/>
  <c r="A34" i="34" s="1"/>
  <c r="A35" i="34" s="1"/>
  <c r="A36" i="34" s="1"/>
  <c r="A37" i="34" s="1"/>
  <c r="A38" i="34" s="1"/>
  <c r="A39" i="34" s="1"/>
  <c r="A40" i="34" s="1"/>
  <c r="I27" i="34"/>
  <c r="G27" i="34"/>
  <c r="F27" i="34"/>
  <c r="I25" i="34"/>
  <c r="G25" i="34"/>
  <c r="F25" i="34"/>
  <c r="I24" i="34"/>
  <c r="G24" i="34"/>
  <c r="F24" i="34"/>
  <c r="I23" i="34"/>
  <c r="G23" i="34"/>
  <c r="F23" i="34"/>
  <c r="I21" i="34"/>
  <c r="G21" i="34"/>
  <c r="F21" i="34"/>
  <c r="I20" i="34"/>
  <c r="G20" i="34"/>
  <c r="F20" i="34"/>
  <c r="I19" i="34"/>
  <c r="G19" i="34"/>
  <c r="F19" i="34"/>
  <c r="I18" i="34"/>
  <c r="G18" i="34"/>
  <c r="F18" i="34"/>
  <c r="I17" i="34"/>
  <c r="G17" i="34"/>
  <c r="F17" i="34"/>
  <c r="A17" i="34"/>
  <c r="A18" i="34" s="1"/>
  <c r="A19" i="34" s="1"/>
  <c r="A20" i="34" s="1"/>
  <c r="A21" i="34" s="1"/>
  <c r="I16" i="34"/>
  <c r="F16" i="34"/>
  <c r="D8" i="34"/>
  <c r="O83" i="32"/>
  <c r="I81" i="32"/>
  <c r="G81" i="32"/>
  <c r="F81" i="32"/>
  <c r="I80" i="32"/>
  <c r="G80" i="32"/>
  <c r="F80" i="32"/>
  <c r="I79" i="32"/>
  <c r="G79" i="32"/>
  <c r="F79" i="32"/>
  <c r="I78" i="32"/>
  <c r="G78" i="32"/>
  <c r="F78" i="32"/>
  <c r="A78" i="32"/>
  <c r="A79" i="32" s="1"/>
  <c r="A80" i="32" s="1"/>
  <c r="I77" i="32"/>
  <c r="G77" i="32"/>
  <c r="F77" i="32"/>
  <c r="I76" i="32"/>
  <c r="G76" i="32"/>
  <c r="F76" i="32"/>
  <c r="I74" i="32"/>
  <c r="G74" i="32"/>
  <c r="F74" i="32"/>
  <c r="I73" i="32"/>
  <c r="G73" i="32"/>
  <c r="F73" i="32"/>
  <c r="I72" i="32"/>
  <c r="G72" i="32"/>
  <c r="F72" i="32"/>
  <c r="I71" i="32"/>
  <c r="G71" i="32"/>
  <c r="F71" i="32"/>
  <c r="A71" i="32"/>
  <c r="A72" i="32" s="1"/>
  <c r="A73" i="32" s="1"/>
  <c r="A74" i="32" s="1"/>
  <c r="I70" i="32"/>
  <c r="G70" i="32"/>
  <c r="F70" i="32"/>
  <c r="I68" i="32"/>
  <c r="G68" i="32"/>
  <c r="F68" i="32"/>
  <c r="I67" i="32"/>
  <c r="G67" i="32"/>
  <c r="F67" i="32"/>
  <c r="I66" i="32"/>
  <c r="G66" i="32"/>
  <c r="F66" i="32"/>
  <c r="I65" i="32"/>
  <c r="G65" i="32"/>
  <c r="F65" i="32"/>
  <c r="I64" i="32"/>
  <c r="G64" i="32"/>
  <c r="F64" i="32"/>
  <c r="I63" i="32"/>
  <c r="G63" i="32"/>
  <c r="F63" i="32"/>
  <c r="I62" i="32"/>
  <c r="G62" i="32"/>
  <c r="F62" i="32"/>
  <c r="I61" i="32"/>
  <c r="G61" i="32"/>
  <c r="F61" i="32"/>
  <c r="I60" i="32"/>
  <c r="G60" i="32"/>
  <c r="F60" i="32"/>
  <c r="I59" i="32"/>
  <c r="G59" i="32"/>
  <c r="F59" i="32"/>
  <c r="I58" i="32"/>
  <c r="G58" i="32"/>
  <c r="F58" i="32"/>
  <c r="A58" i="32"/>
  <c r="A59" i="32" s="1"/>
  <c r="A60" i="32" s="1"/>
  <c r="A61" i="32" s="1"/>
  <c r="A62" i="32" s="1"/>
  <c r="A63" i="32" s="1"/>
  <c r="A64" i="32" s="1"/>
  <c r="A65" i="32" s="1"/>
  <c r="A66" i="32" s="1"/>
  <c r="A67" i="32" s="1"/>
  <c r="A68" i="32" s="1"/>
  <c r="I57" i="32"/>
  <c r="G57" i="32"/>
  <c r="F57" i="32"/>
  <c r="I55" i="32"/>
  <c r="G55" i="32"/>
  <c r="F55" i="32"/>
  <c r="I54" i="32"/>
  <c r="G54" i="32"/>
  <c r="F54" i="32"/>
  <c r="I53" i="32"/>
  <c r="G53" i="32"/>
  <c r="F53" i="32"/>
  <c r="I52" i="32"/>
  <c r="G52" i="32"/>
  <c r="F52" i="32"/>
  <c r="I51" i="32"/>
  <c r="G51" i="32"/>
  <c r="F51" i="32"/>
  <c r="I50" i="32"/>
  <c r="G50" i="32"/>
  <c r="F50" i="32"/>
  <c r="I49" i="32"/>
  <c r="G49" i="32"/>
  <c r="F49" i="32"/>
  <c r="I48" i="32"/>
  <c r="G48" i="32"/>
  <c r="F48" i="32"/>
  <c r="I47" i="32"/>
  <c r="G47" i="32"/>
  <c r="F47" i="32"/>
  <c r="I46" i="32"/>
  <c r="G46" i="32"/>
  <c r="F46" i="32"/>
  <c r="I45" i="32"/>
  <c r="G45" i="32"/>
  <c r="F45" i="32"/>
  <c r="I44" i="32"/>
  <c r="G44" i="32"/>
  <c r="F44" i="32"/>
  <c r="I43" i="32"/>
  <c r="G43" i="32"/>
  <c r="F43" i="32"/>
  <c r="A43" i="32"/>
  <c r="A44" i="32" s="1"/>
  <c r="A45" i="32" s="1"/>
  <c r="A46" i="32" s="1"/>
  <c r="A47" i="32" s="1"/>
  <c r="A48" i="32" s="1"/>
  <c r="A49" i="32" s="1"/>
  <c r="A50" i="32" s="1"/>
  <c r="A51" i="32" s="1"/>
  <c r="A52" i="32" s="1"/>
  <c r="A53" i="32" s="1"/>
  <c r="A54" i="32" s="1"/>
  <c r="A55" i="32" s="1"/>
  <c r="I42" i="32"/>
  <c r="G42" i="32"/>
  <c r="F42" i="32"/>
  <c r="I40" i="32"/>
  <c r="G40" i="32"/>
  <c r="F40" i="32"/>
  <c r="I39" i="32"/>
  <c r="G39" i="32"/>
  <c r="F39" i="32"/>
  <c r="I38" i="32"/>
  <c r="G38" i="32"/>
  <c r="F38" i="32"/>
  <c r="I37" i="32"/>
  <c r="G37" i="32"/>
  <c r="F37" i="32"/>
  <c r="I36" i="32"/>
  <c r="G36" i="32"/>
  <c r="F36" i="32"/>
  <c r="I35" i="32"/>
  <c r="G35" i="32"/>
  <c r="F35" i="32"/>
  <c r="I34" i="32"/>
  <c r="G34" i="32"/>
  <c r="F34" i="32"/>
  <c r="I33" i="32"/>
  <c r="G33" i="32"/>
  <c r="F33" i="32"/>
  <c r="I32" i="32"/>
  <c r="G32" i="32"/>
  <c r="F32" i="32"/>
  <c r="I31" i="32"/>
  <c r="G31" i="32"/>
  <c r="F31" i="32"/>
  <c r="I30" i="32"/>
  <c r="G30" i="32"/>
  <c r="F30" i="32"/>
  <c r="I29" i="32"/>
  <c r="G29" i="32"/>
  <c r="F29" i="32"/>
  <c r="I28" i="32"/>
  <c r="G28" i="32"/>
  <c r="F28" i="32"/>
  <c r="A28" i="32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I27" i="32"/>
  <c r="G27" i="32"/>
  <c r="F27" i="32"/>
  <c r="I25" i="32"/>
  <c r="G25" i="32"/>
  <c r="F25" i="32"/>
  <c r="I24" i="32"/>
  <c r="G24" i="32"/>
  <c r="F24" i="32"/>
  <c r="I23" i="32"/>
  <c r="G23" i="32"/>
  <c r="F23" i="32"/>
  <c r="I21" i="32"/>
  <c r="G21" i="32"/>
  <c r="F21" i="32"/>
  <c r="I20" i="32"/>
  <c r="G20" i="32"/>
  <c r="F20" i="32"/>
  <c r="I19" i="32"/>
  <c r="G19" i="32"/>
  <c r="F19" i="32"/>
  <c r="I18" i="32"/>
  <c r="Q18" i="32" s="1"/>
  <c r="G18" i="32"/>
  <c r="F18" i="32"/>
  <c r="I17" i="32"/>
  <c r="G17" i="32"/>
  <c r="F17" i="32"/>
  <c r="A17" i="32"/>
  <c r="A18" i="32" s="1"/>
  <c r="A19" i="32" s="1"/>
  <c r="A20" i="32" s="1"/>
  <c r="A21" i="32" s="1"/>
  <c r="I16" i="32"/>
  <c r="F16" i="32"/>
  <c r="D8" i="32"/>
  <c r="I16" i="31"/>
  <c r="N27" i="31"/>
  <c r="N25" i="31"/>
  <c r="P25" i="31" s="1"/>
  <c r="O83" i="31"/>
  <c r="Q82" i="31"/>
  <c r="N81" i="31"/>
  <c r="I81" i="31"/>
  <c r="G81" i="31"/>
  <c r="F81" i="31"/>
  <c r="N80" i="31"/>
  <c r="P80" i="31" s="1"/>
  <c r="I80" i="31"/>
  <c r="G80" i="31"/>
  <c r="F80" i="31"/>
  <c r="N79" i="31"/>
  <c r="P79" i="31" s="1"/>
  <c r="I79" i="31"/>
  <c r="G79" i="31"/>
  <c r="F79" i="31"/>
  <c r="N78" i="31"/>
  <c r="P78" i="31" s="1"/>
  <c r="I78" i="31"/>
  <c r="G78" i="31"/>
  <c r="F78" i="31"/>
  <c r="A78" i="31"/>
  <c r="A79" i="31" s="1"/>
  <c r="A80" i="31" s="1"/>
  <c r="N77" i="31"/>
  <c r="I77" i="31"/>
  <c r="G77" i="31"/>
  <c r="F77" i="31"/>
  <c r="N76" i="31"/>
  <c r="I76" i="31"/>
  <c r="G76" i="31"/>
  <c r="F76" i="31"/>
  <c r="N74" i="31"/>
  <c r="I74" i="31"/>
  <c r="G74" i="31"/>
  <c r="F74" i="31"/>
  <c r="N73" i="31"/>
  <c r="I73" i="31"/>
  <c r="G73" i="31"/>
  <c r="F73" i="31"/>
  <c r="N72" i="31"/>
  <c r="I72" i="31"/>
  <c r="G72" i="31"/>
  <c r="F72" i="31"/>
  <c r="N71" i="31"/>
  <c r="P71" i="31" s="1"/>
  <c r="I71" i="31"/>
  <c r="G71" i="31"/>
  <c r="F71" i="31"/>
  <c r="A71" i="31"/>
  <c r="A72" i="31" s="1"/>
  <c r="A73" i="31" s="1"/>
  <c r="A74" i="31" s="1"/>
  <c r="N70" i="31"/>
  <c r="P70" i="31" s="1"/>
  <c r="I70" i="31"/>
  <c r="G70" i="31"/>
  <c r="F70" i="31"/>
  <c r="N68" i="31"/>
  <c r="I68" i="31"/>
  <c r="G68" i="31"/>
  <c r="F68" i="31"/>
  <c r="N67" i="31"/>
  <c r="P67" i="31" s="1"/>
  <c r="I67" i="31"/>
  <c r="G67" i="31"/>
  <c r="F67" i="31"/>
  <c r="N66" i="31"/>
  <c r="I66" i="31"/>
  <c r="G66" i="31"/>
  <c r="F66" i="31"/>
  <c r="N65" i="31"/>
  <c r="P65" i="31" s="1"/>
  <c r="I65" i="31"/>
  <c r="G65" i="31"/>
  <c r="F65" i="31"/>
  <c r="N64" i="31"/>
  <c r="I64" i="31"/>
  <c r="G64" i="31"/>
  <c r="F64" i="31"/>
  <c r="N63" i="31"/>
  <c r="P63" i="31" s="1"/>
  <c r="I63" i="31"/>
  <c r="G63" i="31"/>
  <c r="F63" i="31"/>
  <c r="N62" i="31"/>
  <c r="I62" i="31"/>
  <c r="G62" i="31"/>
  <c r="F62" i="31"/>
  <c r="N61" i="31"/>
  <c r="P61" i="31" s="1"/>
  <c r="I61" i="31"/>
  <c r="G61" i="31"/>
  <c r="F61" i="31"/>
  <c r="N60" i="31"/>
  <c r="I60" i="31"/>
  <c r="G60" i="31"/>
  <c r="F60" i="31"/>
  <c r="N59" i="31"/>
  <c r="P59" i="31" s="1"/>
  <c r="I59" i="31"/>
  <c r="G59" i="31"/>
  <c r="F59" i="31"/>
  <c r="N58" i="31"/>
  <c r="P58" i="31" s="1"/>
  <c r="I58" i="31"/>
  <c r="G58" i="31"/>
  <c r="F58" i="31"/>
  <c r="A58" i="3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N57" i="31"/>
  <c r="P57" i="31" s="1"/>
  <c r="I57" i="31"/>
  <c r="G57" i="31"/>
  <c r="F57" i="31"/>
  <c r="N55" i="31"/>
  <c r="P55" i="31" s="1"/>
  <c r="I55" i="31"/>
  <c r="G55" i="31"/>
  <c r="F55" i="31"/>
  <c r="N54" i="31"/>
  <c r="P54" i="31" s="1"/>
  <c r="I54" i="31"/>
  <c r="G54" i="31"/>
  <c r="F54" i="31"/>
  <c r="N53" i="31"/>
  <c r="P53" i="31" s="1"/>
  <c r="I53" i="31"/>
  <c r="G53" i="31"/>
  <c r="F53" i="31"/>
  <c r="N52" i="31"/>
  <c r="I52" i="31"/>
  <c r="G52" i="31"/>
  <c r="F52" i="31"/>
  <c r="N51" i="31"/>
  <c r="P51" i="31" s="1"/>
  <c r="I51" i="31"/>
  <c r="G51" i="31"/>
  <c r="F51" i="31"/>
  <c r="N50" i="31"/>
  <c r="P50" i="31" s="1"/>
  <c r="I50" i="31"/>
  <c r="G50" i="31"/>
  <c r="F50" i="31"/>
  <c r="N49" i="31"/>
  <c r="I49" i="31"/>
  <c r="G49" i="31"/>
  <c r="F49" i="31"/>
  <c r="N48" i="31"/>
  <c r="I48" i="31"/>
  <c r="G48" i="31"/>
  <c r="F48" i="31"/>
  <c r="N47" i="31"/>
  <c r="I47" i="31"/>
  <c r="G47" i="31"/>
  <c r="F47" i="31"/>
  <c r="N46" i="31"/>
  <c r="P46" i="31" s="1"/>
  <c r="I46" i="31"/>
  <c r="G46" i="31"/>
  <c r="F46" i="31"/>
  <c r="N45" i="31"/>
  <c r="P45" i="31" s="1"/>
  <c r="I45" i="31"/>
  <c r="G45" i="31"/>
  <c r="F45" i="31"/>
  <c r="N44" i="31"/>
  <c r="P44" i="31" s="1"/>
  <c r="I44" i="31"/>
  <c r="G44" i="31"/>
  <c r="F44" i="31"/>
  <c r="N43" i="31"/>
  <c r="I43" i="31"/>
  <c r="G43" i="31"/>
  <c r="F43" i="31"/>
  <c r="A43" i="3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N42" i="31"/>
  <c r="P42" i="31" s="1"/>
  <c r="I42" i="31"/>
  <c r="G42" i="31"/>
  <c r="F42" i="31"/>
  <c r="N40" i="31"/>
  <c r="I40" i="31"/>
  <c r="G40" i="31"/>
  <c r="F40" i="31"/>
  <c r="N39" i="31"/>
  <c r="P39" i="31" s="1"/>
  <c r="I39" i="31"/>
  <c r="G39" i="31"/>
  <c r="F39" i="31"/>
  <c r="N38" i="31"/>
  <c r="I38" i="31"/>
  <c r="G38" i="31"/>
  <c r="F38" i="31"/>
  <c r="N37" i="31"/>
  <c r="I37" i="31"/>
  <c r="G37" i="31"/>
  <c r="F37" i="31"/>
  <c r="N36" i="31"/>
  <c r="P36" i="31" s="1"/>
  <c r="I36" i="31"/>
  <c r="G36" i="31"/>
  <c r="F36" i="31"/>
  <c r="N35" i="31"/>
  <c r="P35" i="31" s="1"/>
  <c r="I35" i="31"/>
  <c r="G35" i="31"/>
  <c r="F35" i="31"/>
  <c r="N34" i="31"/>
  <c r="P34" i="31" s="1"/>
  <c r="I34" i="31"/>
  <c r="G34" i="31"/>
  <c r="F34" i="31"/>
  <c r="N33" i="31"/>
  <c r="P33" i="31" s="1"/>
  <c r="I33" i="31"/>
  <c r="G33" i="31"/>
  <c r="F33" i="31"/>
  <c r="N32" i="31"/>
  <c r="P32" i="31" s="1"/>
  <c r="I32" i="31"/>
  <c r="G32" i="31"/>
  <c r="F32" i="31"/>
  <c r="N31" i="31"/>
  <c r="I31" i="31"/>
  <c r="G31" i="31"/>
  <c r="F31" i="31"/>
  <c r="N30" i="31"/>
  <c r="I30" i="31"/>
  <c r="G30" i="31"/>
  <c r="F30" i="31"/>
  <c r="N29" i="31"/>
  <c r="P29" i="31" s="1"/>
  <c r="I29" i="31"/>
  <c r="G29" i="31"/>
  <c r="F29" i="31"/>
  <c r="N28" i="31"/>
  <c r="P28" i="31" s="1"/>
  <c r="I28" i="31"/>
  <c r="G28" i="31"/>
  <c r="F28" i="31"/>
  <c r="A28" i="3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I27" i="31"/>
  <c r="G27" i="31"/>
  <c r="F27" i="31"/>
  <c r="I25" i="31"/>
  <c r="G25" i="31"/>
  <c r="F25" i="31"/>
  <c r="N24" i="31"/>
  <c r="P24" i="31" s="1"/>
  <c r="I24" i="31"/>
  <c r="G24" i="31"/>
  <c r="F24" i="31"/>
  <c r="N23" i="31"/>
  <c r="P23" i="31" s="1"/>
  <c r="I23" i="31"/>
  <c r="G23" i="31"/>
  <c r="F23" i="31"/>
  <c r="N21" i="31"/>
  <c r="P21" i="31" s="1"/>
  <c r="I21" i="31"/>
  <c r="G21" i="31"/>
  <c r="F21" i="31"/>
  <c r="N20" i="31"/>
  <c r="I20" i="31"/>
  <c r="G20" i="31"/>
  <c r="F20" i="31"/>
  <c r="N19" i="31"/>
  <c r="P19" i="31" s="1"/>
  <c r="I19" i="31"/>
  <c r="G19" i="31"/>
  <c r="F19" i="31"/>
  <c r="N18" i="31"/>
  <c r="P18" i="31" s="1"/>
  <c r="I18" i="31"/>
  <c r="G18" i="31"/>
  <c r="F18" i="31"/>
  <c r="N17" i="31"/>
  <c r="P17" i="31" s="1"/>
  <c r="I17" i="31"/>
  <c r="G17" i="31"/>
  <c r="F17" i="31"/>
  <c r="A17" i="31"/>
  <c r="A18" i="31" s="1"/>
  <c r="A19" i="31" s="1"/>
  <c r="A20" i="31" s="1"/>
  <c r="A21" i="31" s="1"/>
  <c r="F16" i="31"/>
  <c r="D8" i="31"/>
  <c r="Q29" i="36" l="1"/>
  <c r="Q37" i="36"/>
  <c r="Q49" i="36"/>
  <c r="Q61" i="36"/>
  <c r="Q70" i="36"/>
  <c r="Q73" i="36"/>
  <c r="Q18" i="36"/>
  <c r="Q31" i="36"/>
  <c r="Q43" i="36"/>
  <c r="Q62" i="36"/>
  <c r="Q23" i="36"/>
  <c r="Q35" i="36"/>
  <c r="Q59" i="36"/>
  <c r="Q67" i="36"/>
  <c r="P16" i="32"/>
  <c r="R16" i="32" s="1"/>
  <c r="Q16" i="32"/>
  <c r="P29" i="32"/>
  <c r="R29" i="32" s="1"/>
  <c r="Q29" i="32"/>
  <c r="P37" i="32"/>
  <c r="R37" i="32" s="1"/>
  <c r="Q37" i="32"/>
  <c r="P46" i="32"/>
  <c r="R46" i="32" s="1"/>
  <c r="Q46" i="32"/>
  <c r="P54" i="32"/>
  <c r="R54" i="32" s="1"/>
  <c r="Q54" i="32"/>
  <c r="P63" i="32"/>
  <c r="R63" i="32" s="1"/>
  <c r="Q63" i="32"/>
  <c r="P72" i="32"/>
  <c r="R72" i="32" s="1"/>
  <c r="Q72" i="32"/>
  <c r="P81" i="32"/>
  <c r="R81" i="32" s="1"/>
  <c r="Q81" i="32"/>
  <c r="P24" i="34"/>
  <c r="Q24" i="34"/>
  <c r="P35" i="34"/>
  <c r="Q35" i="34"/>
  <c r="P44" i="34"/>
  <c r="Q44" i="34"/>
  <c r="P52" i="34"/>
  <c r="Q52" i="34"/>
  <c r="Q61" i="34"/>
  <c r="P70" i="34"/>
  <c r="Q70" i="34"/>
  <c r="P79" i="34"/>
  <c r="Q79" i="34"/>
  <c r="Q24" i="35"/>
  <c r="P34" i="35"/>
  <c r="R34" i="35" s="1"/>
  <c r="Q34" i="35"/>
  <c r="P43" i="35"/>
  <c r="R43" i="35" s="1"/>
  <c r="Q43" i="35"/>
  <c r="P51" i="35"/>
  <c r="R51" i="35" s="1"/>
  <c r="Q51" i="35"/>
  <c r="P60" i="35"/>
  <c r="R60" i="35" s="1"/>
  <c r="Q60" i="35"/>
  <c r="P68" i="35"/>
  <c r="R68" i="35" s="1"/>
  <c r="Q68" i="35"/>
  <c r="P78" i="35"/>
  <c r="R78" i="35" s="1"/>
  <c r="Q78" i="35"/>
  <c r="Q25" i="36"/>
  <c r="P17" i="32"/>
  <c r="R17" i="32" s="1"/>
  <c r="Q17" i="32"/>
  <c r="P30" i="32"/>
  <c r="R30" i="32" s="1"/>
  <c r="Q30" i="32"/>
  <c r="P38" i="32"/>
  <c r="R38" i="32" s="1"/>
  <c r="Q38" i="32"/>
  <c r="P47" i="32"/>
  <c r="R47" i="32" s="1"/>
  <c r="Q47" i="32"/>
  <c r="P55" i="32"/>
  <c r="R55" i="32" s="1"/>
  <c r="Q55" i="32"/>
  <c r="P64" i="32"/>
  <c r="R64" i="32" s="1"/>
  <c r="Q64" i="32"/>
  <c r="P73" i="32"/>
  <c r="R73" i="32" s="1"/>
  <c r="Q73" i="32"/>
  <c r="P16" i="34"/>
  <c r="Q16" i="34"/>
  <c r="P28" i="34"/>
  <c r="Q28" i="34"/>
  <c r="P36" i="34"/>
  <c r="Q36" i="34"/>
  <c r="Q45" i="34"/>
  <c r="P53" i="34"/>
  <c r="Q53" i="34"/>
  <c r="P62" i="34"/>
  <c r="Q62" i="34"/>
  <c r="P71" i="34"/>
  <c r="Q71" i="34"/>
  <c r="P80" i="34"/>
  <c r="Q80" i="34"/>
  <c r="P16" i="35"/>
  <c r="R16" i="35" s="1"/>
  <c r="Q16" i="35"/>
  <c r="P27" i="35"/>
  <c r="R27" i="35" s="1"/>
  <c r="Q27" i="35"/>
  <c r="P35" i="35"/>
  <c r="R35" i="35" s="1"/>
  <c r="Q35" i="35"/>
  <c r="P44" i="35"/>
  <c r="R44" i="35" s="1"/>
  <c r="Q44" i="35"/>
  <c r="P52" i="35"/>
  <c r="R52" i="35" s="1"/>
  <c r="Q52" i="35"/>
  <c r="P61" i="35"/>
  <c r="R61" i="35" s="1"/>
  <c r="Q61" i="35"/>
  <c r="P70" i="35"/>
  <c r="R70" i="35" s="1"/>
  <c r="Q70" i="35"/>
  <c r="P79" i="35"/>
  <c r="R79" i="35" s="1"/>
  <c r="Q79" i="35"/>
  <c r="Q21" i="36"/>
  <c r="P34" i="36"/>
  <c r="R34" i="36" s="1"/>
  <c r="Q34" i="36"/>
  <c r="Q46" i="36"/>
  <c r="Q54" i="36"/>
  <c r="Q58" i="36"/>
  <c r="Q66" i="36"/>
  <c r="P25" i="35"/>
  <c r="R25" i="35" s="1"/>
  <c r="Q25" i="35"/>
  <c r="R18" i="32"/>
  <c r="P31" i="32"/>
  <c r="R31" i="32" s="1"/>
  <c r="Q31" i="32"/>
  <c r="P39" i="32"/>
  <c r="R39" i="32" s="1"/>
  <c r="Q39" i="32"/>
  <c r="P48" i="32"/>
  <c r="R48" i="32" s="1"/>
  <c r="Q48" i="32"/>
  <c r="P57" i="32"/>
  <c r="R57" i="32" s="1"/>
  <c r="Q57" i="32"/>
  <c r="P65" i="32"/>
  <c r="R65" i="32" s="1"/>
  <c r="Q65" i="32"/>
  <c r="P74" i="32"/>
  <c r="R74" i="32" s="1"/>
  <c r="Q74" i="32"/>
  <c r="P17" i="34"/>
  <c r="R17" i="34" s="1"/>
  <c r="Q17" i="34"/>
  <c r="P29" i="34"/>
  <c r="Q29" i="34"/>
  <c r="P37" i="34"/>
  <c r="Q37" i="34"/>
  <c r="P46" i="34"/>
  <c r="Q46" i="34"/>
  <c r="P54" i="34"/>
  <c r="Q54" i="34"/>
  <c r="Q63" i="34"/>
  <c r="P72" i="34"/>
  <c r="Q72" i="34"/>
  <c r="P81" i="34"/>
  <c r="Q81" i="34"/>
  <c r="P17" i="35"/>
  <c r="R17" i="35" s="1"/>
  <c r="Q17" i="35"/>
  <c r="P28" i="35"/>
  <c r="R28" i="35" s="1"/>
  <c r="Q28" i="35"/>
  <c r="P36" i="35"/>
  <c r="R36" i="35" s="1"/>
  <c r="Q36" i="35"/>
  <c r="P45" i="35"/>
  <c r="R45" i="35" s="1"/>
  <c r="Q45" i="35"/>
  <c r="P53" i="35"/>
  <c r="R53" i="35" s="1"/>
  <c r="Q53" i="35"/>
  <c r="P62" i="35"/>
  <c r="R62" i="35" s="1"/>
  <c r="Q62" i="35"/>
  <c r="P71" i="35"/>
  <c r="R71" i="35" s="1"/>
  <c r="Q71" i="35"/>
  <c r="P80" i="35"/>
  <c r="R80" i="35" s="1"/>
  <c r="Q80" i="35"/>
  <c r="P39" i="36"/>
  <c r="R39" i="36" s="1"/>
  <c r="Q39" i="36"/>
  <c r="Q51" i="36"/>
  <c r="Q63" i="36"/>
  <c r="P76" i="36"/>
  <c r="R76" i="36" s="1"/>
  <c r="Q76" i="36"/>
  <c r="Q79" i="36"/>
  <c r="P19" i="32"/>
  <c r="R19" i="32" s="1"/>
  <c r="Q19" i="32"/>
  <c r="P32" i="32"/>
  <c r="R32" i="32" s="1"/>
  <c r="Q32" i="32"/>
  <c r="P40" i="32"/>
  <c r="R40" i="32" s="1"/>
  <c r="Q40" i="32"/>
  <c r="P49" i="32"/>
  <c r="R49" i="32" s="1"/>
  <c r="Q49" i="32"/>
  <c r="P58" i="32"/>
  <c r="R58" i="32" s="1"/>
  <c r="Q58" i="32"/>
  <c r="P66" i="32"/>
  <c r="R66" i="32" s="1"/>
  <c r="Q66" i="32"/>
  <c r="P76" i="32"/>
  <c r="R76" i="32" s="1"/>
  <c r="Q76" i="32"/>
  <c r="P18" i="34"/>
  <c r="Q18" i="34"/>
  <c r="P30" i="34"/>
  <c r="Q30" i="34"/>
  <c r="P38" i="34"/>
  <c r="Q38" i="34"/>
  <c r="Q47" i="34"/>
  <c r="Q55" i="34"/>
  <c r="Q64" i="34"/>
  <c r="Q73" i="34"/>
  <c r="P24" i="32"/>
  <c r="R24" i="32" s="1"/>
  <c r="Q24" i="32"/>
  <c r="R18" i="35"/>
  <c r="P29" i="35"/>
  <c r="R29" i="35" s="1"/>
  <c r="Q29" i="35"/>
  <c r="P37" i="35"/>
  <c r="R37" i="35" s="1"/>
  <c r="Q37" i="35"/>
  <c r="P46" i="35"/>
  <c r="R46" i="35" s="1"/>
  <c r="Q46" i="35"/>
  <c r="P54" i="35"/>
  <c r="R54" i="35" s="1"/>
  <c r="Q54" i="35"/>
  <c r="P63" i="35"/>
  <c r="R63" i="35" s="1"/>
  <c r="Q63" i="35"/>
  <c r="P72" i="35"/>
  <c r="R72" i="35" s="1"/>
  <c r="Q72" i="35"/>
  <c r="P81" i="35"/>
  <c r="R81" i="35" s="1"/>
  <c r="Q81" i="35"/>
  <c r="Q24" i="36"/>
  <c r="Q28" i="36"/>
  <c r="P36" i="36"/>
  <c r="R36" i="36" s="1"/>
  <c r="Q36" i="36"/>
  <c r="P48" i="36"/>
  <c r="R48" i="36" s="1"/>
  <c r="Q48" i="36"/>
  <c r="Q57" i="36"/>
  <c r="Q60" i="36"/>
  <c r="Q68" i="36"/>
  <c r="Q72" i="36"/>
  <c r="P20" i="32"/>
  <c r="R20" i="32" s="1"/>
  <c r="Q20" i="32"/>
  <c r="P33" i="32"/>
  <c r="R33" i="32" s="1"/>
  <c r="Q33" i="32"/>
  <c r="P42" i="32"/>
  <c r="R42" i="32" s="1"/>
  <c r="Q42" i="32"/>
  <c r="P50" i="32"/>
  <c r="R50" i="32" s="1"/>
  <c r="Q50" i="32"/>
  <c r="P59" i="32"/>
  <c r="R59" i="32" s="1"/>
  <c r="Q59" i="32"/>
  <c r="P67" i="32"/>
  <c r="R67" i="32" s="1"/>
  <c r="Q67" i="32"/>
  <c r="P77" i="32"/>
  <c r="R77" i="32" s="1"/>
  <c r="Q77" i="32"/>
  <c r="P19" i="34"/>
  <c r="Q19" i="34"/>
  <c r="Q31" i="34"/>
  <c r="Q39" i="34"/>
  <c r="Q48" i="34"/>
  <c r="P57" i="34"/>
  <c r="R57" i="34" s="1"/>
  <c r="Q57" i="34"/>
  <c r="P65" i="34"/>
  <c r="Q65" i="34"/>
  <c r="P74" i="34"/>
  <c r="Q74" i="34"/>
  <c r="P25" i="32"/>
  <c r="R25" i="32" s="1"/>
  <c r="Q25" i="32"/>
  <c r="P19" i="35"/>
  <c r="R19" i="35" s="1"/>
  <c r="Q19" i="35"/>
  <c r="P30" i="35"/>
  <c r="R30" i="35" s="1"/>
  <c r="Q30" i="35"/>
  <c r="P38" i="35"/>
  <c r="R38" i="35" s="1"/>
  <c r="Q38" i="35"/>
  <c r="P47" i="35"/>
  <c r="R47" i="35" s="1"/>
  <c r="Q47" i="35"/>
  <c r="P55" i="35"/>
  <c r="R55" i="35" s="1"/>
  <c r="Q55" i="35"/>
  <c r="P64" i="35"/>
  <c r="R64" i="35" s="1"/>
  <c r="Q64" i="35"/>
  <c r="P73" i="35"/>
  <c r="R73" i="35" s="1"/>
  <c r="Q73" i="35"/>
  <c r="P20" i="36"/>
  <c r="R20" i="36" s="1"/>
  <c r="Q20" i="36"/>
  <c r="P42" i="36"/>
  <c r="R42" i="36" s="1"/>
  <c r="Q42" i="36"/>
  <c r="P45" i="36"/>
  <c r="R45" i="36" s="1"/>
  <c r="Q45" i="36"/>
  <c r="Q53" i="36"/>
  <c r="Q65" i="36"/>
  <c r="P81" i="36"/>
  <c r="R81" i="36" s="1"/>
  <c r="Q81" i="36"/>
  <c r="P21" i="32"/>
  <c r="R21" i="32" s="1"/>
  <c r="Q21" i="32"/>
  <c r="P34" i="32"/>
  <c r="R34" i="32" s="1"/>
  <c r="Q34" i="32"/>
  <c r="P43" i="32"/>
  <c r="R43" i="32" s="1"/>
  <c r="Q43" i="32"/>
  <c r="P51" i="32"/>
  <c r="R51" i="32" s="1"/>
  <c r="Q51" i="32"/>
  <c r="P60" i="32"/>
  <c r="R60" i="32" s="1"/>
  <c r="Q60" i="32"/>
  <c r="Q68" i="32"/>
  <c r="Q78" i="32"/>
  <c r="Q20" i="34"/>
  <c r="P32" i="34"/>
  <c r="Q32" i="34"/>
  <c r="Q40" i="34"/>
  <c r="Q49" i="34"/>
  <c r="P58" i="34"/>
  <c r="Q58" i="34"/>
  <c r="P66" i="34"/>
  <c r="Q66" i="34"/>
  <c r="P76" i="34"/>
  <c r="Q76" i="34"/>
  <c r="P27" i="32"/>
  <c r="R27" i="32" s="1"/>
  <c r="Q27" i="32"/>
  <c r="P20" i="35"/>
  <c r="R20" i="35" s="1"/>
  <c r="Q20" i="35"/>
  <c r="Q31" i="35"/>
  <c r="P39" i="35"/>
  <c r="R39" i="35" s="1"/>
  <c r="Q39" i="35"/>
  <c r="P48" i="35"/>
  <c r="R48" i="35" s="1"/>
  <c r="Q48" i="35"/>
  <c r="P57" i="35"/>
  <c r="R57" i="35" s="1"/>
  <c r="Q57" i="35"/>
  <c r="Q65" i="35"/>
  <c r="P74" i="35"/>
  <c r="R74" i="35" s="1"/>
  <c r="Q74" i="35"/>
  <c r="P27" i="36"/>
  <c r="R27" i="36" s="1"/>
  <c r="Q27" i="36"/>
  <c r="P50" i="36"/>
  <c r="R50" i="36" s="1"/>
  <c r="Q50" i="36"/>
  <c r="P74" i="36"/>
  <c r="R74" i="36" s="1"/>
  <c r="Q74" i="36"/>
  <c r="Q78" i="36"/>
  <c r="P23" i="32"/>
  <c r="R23" i="32" s="1"/>
  <c r="Q23" i="32"/>
  <c r="Q35" i="32"/>
  <c r="P44" i="32"/>
  <c r="R44" i="32" s="1"/>
  <c r="Q44" i="32"/>
  <c r="P52" i="32"/>
  <c r="R52" i="32" s="1"/>
  <c r="Q52" i="32"/>
  <c r="P61" i="32"/>
  <c r="R61" i="32" s="1"/>
  <c r="Q61" i="32"/>
  <c r="P70" i="32"/>
  <c r="R70" i="32" s="1"/>
  <c r="Q70" i="32"/>
  <c r="P79" i="32"/>
  <c r="R79" i="32" s="1"/>
  <c r="Q79" i="32"/>
  <c r="P21" i="34"/>
  <c r="Q21" i="34"/>
  <c r="P33" i="34"/>
  <c r="Q33" i="34"/>
  <c r="P42" i="34"/>
  <c r="Q42" i="34"/>
  <c r="P50" i="34"/>
  <c r="Q50" i="34"/>
  <c r="P59" i="34"/>
  <c r="Q59" i="34"/>
  <c r="P67" i="34"/>
  <c r="Q67" i="34"/>
  <c r="P77" i="34"/>
  <c r="Q77" i="34"/>
  <c r="Q25" i="34"/>
  <c r="P21" i="35"/>
  <c r="R21" i="35" s="1"/>
  <c r="Q21" i="35"/>
  <c r="P32" i="35"/>
  <c r="R32" i="35" s="1"/>
  <c r="Q32" i="35"/>
  <c r="P40" i="35"/>
  <c r="R40" i="35" s="1"/>
  <c r="Q40" i="35"/>
  <c r="P49" i="35"/>
  <c r="R49" i="35" s="1"/>
  <c r="Q49" i="35"/>
  <c r="P58" i="35"/>
  <c r="R58" i="35" s="1"/>
  <c r="Q58" i="35"/>
  <c r="P66" i="35"/>
  <c r="R66" i="35" s="1"/>
  <c r="Q66" i="35"/>
  <c r="P76" i="35"/>
  <c r="R76" i="35" s="1"/>
  <c r="Q76" i="35"/>
  <c r="Q47" i="36"/>
  <c r="Q55" i="36"/>
  <c r="Q71" i="36"/>
  <c r="Q28" i="32"/>
  <c r="P36" i="32"/>
  <c r="R36" i="32" s="1"/>
  <c r="Q36" i="32"/>
  <c r="P45" i="32"/>
  <c r="R45" i="32" s="1"/>
  <c r="Q45" i="32"/>
  <c r="P53" i="32"/>
  <c r="R53" i="32" s="1"/>
  <c r="Q53" i="32"/>
  <c r="P62" i="32"/>
  <c r="R62" i="32" s="1"/>
  <c r="Q62" i="32"/>
  <c r="P71" i="32"/>
  <c r="R71" i="32" s="1"/>
  <c r="Q71" i="32"/>
  <c r="Q80" i="32"/>
  <c r="Q23" i="34"/>
  <c r="P34" i="34"/>
  <c r="Q34" i="34"/>
  <c r="P43" i="34"/>
  <c r="Q43" i="34"/>
  <c r="P51" i="34"/>
  <c r="Q51" i="34"/>
  <c r="P60" i="34"/>
  <c r="Q60" i="34"/>
  <c r="P68" i="34"/>
  <c r="Q68" i="34"/>
  <c r="P78" i="34"/>
  <c r="Q78" i="34"/>
  <c r="Q27" i="34"/>
  <c r="P23" i="35"/>
  <c r="R23" i="35" s="1"/>
  <c r="Q23" i="35"/>
  <c r="Q33" i="35"/>
  <c r="Q42" i="35"/>
  <c r="Q50" i="35"/>
  <c r="Q59" i="35"/>
  <c r="Q67" i="35"/>
  <c r="Q77" i="35"/>
  <c r="Q16" i="36"/>
  <c r="Q19" i="36"/>
  <c r="Q32" i="36"/>
  <c r="Q40" i="36"/>
  <c r="P44" i="36"/>
  <c r="R44" i="36" s="1"/>
  <c r="Q44" i="36"/>
  <c r="Q52" i="36"/>
  <c r="Q64" i="36"/>
  <c r="Q31" i="31"/>
  <c r="R53" i="31"/>
  <c r="Q48" i="31"/>
  <c r="R71" i="31"/>
  <c r="P45" i="34"/>
  <c r="P58" i="36"/>
  <c r="R58" i="36" s="1"/>
  <c r="Q44" i="31"/>
  <c r="P35" i="32"/>
  <c r="R35" i="32" s="1"/>
  <c r="Q55" i="31"/>
  <c r="Q74" i="31"/>
  <c r="Q77" i="31"/>
  <c r="P31" i="31"/>
  <c r="R31" i="31" s="1"/>
  <c r="P18" i="36"/>
  <c r="R18" i="36" s="1"/>
  <c r="P67" i="36"/>
  <c r="R67" i="36" s="1"/>
  <c r="P17" i="36"/>
  <c r="R17" i="36" s="1"/>
  <c r="Q30" i="31"/>
  <c r="P30" i="31"/>
  <c r="R30" i="31" s="1"/>
  <c r="P65" i="35"/>
  <c r="R65" i="35" s="1"/>
  <c r="Q40" i="31"/>
  <c r="P40" i="31"/>
  <c r="R40" i="31" s="1"/>
  <c r="Q43" i="31"/>
  <c r="P43" i="31"/>
  <c r="F83" i="35"/>
  <c r="P28" i="32"/>
  <c r="R28" i="32" s="1"/>
  <c r="P80" i="32"/>
  <c r="R80" i="32" s="1"/>
  <c r="P74" i="31"/>
  <c r="R74" i="31" s="1"/>
  <c r="P23" i="34"/>
  <c r="R23" i="34" s="1"/>
  <c r="P33" i="35"/>
  <c r="R33" i="35" s="1"/>
  <c r="P42" i="35"/>
  <c r="R42" i="35" s="1"/>
  <c r="P50" i="35"/>
  <c r="R50" i="35" s="1"/>
  <c r="P59" i="35"/>
  <c r="R59" i="35" s="1"/>
  <c r="P67" i="35"/>
  <c r="R67" i="35" s="1"/>
  <c r="P77" i="35"/>
  <c r="R77" i="35" s="1"/>
  <c r="P47" i="36"/>
  <c r="R47" i="36" s="1"/>
  <c r="Q20" i="31"/>
  <c r="P20" i="31"/>
  <c r="R20" i="31" s="1"/>
  <c r="Q52" i="31"/>
  <c r="P52" i="31"/>
  <c r="R52" i="31" s="1"/>
  <c r="Q73" i="31"/>
  <c r="P73" i="31"/>
  <c r="R73" i="31" s="1"/>
  <c r="F83" i="32"/>
  <c r="P40" i="34"/>
  <c r="I83" i="35"/>
  <c r="P48" i="31"/>
  <c r="R48" i="31" s="1"/>
  <c r="P77" i="31"/>
  <c r="R77" i="31" s="1"/>
  <c r="P27" i="34"/>
  <c r="P49" i="34"/>
  <c r="Q27" i="31"/>
  <c r="P27" i="31"/>
  <c r="I83" i="31"/>
  <c r="Q47" i="31"/>
  <c r="P47" i="31"/>
  <c r="Q49" i="31"/>
  <c r="P49" i="31"/>
  <c r="R49" i="31" s="1"/>
  <c r="Q72" i="31"/>
  <c r="P72" i="31"/>
  <c r="R35" i="31"/>
  <c r="P76" i="31"/>
  <c r="R76" i="31" s="1"/>
  <c r="P68" i="32"/>
  <c r="R68" i="32" s="1"/>
  <c r="P20" i="34"/>
  <c r="P31" i="35"/>
  <c r="R31" i="35" s="1"/>
  <c r="Q34" i="31"/>
  <c r="Q62" i="31"/>
  <c r="P62" i="31"/>
  <c r="Q66" i="31"/>
  <c r="P66" i="31"/>
  <c r="R66" i="31" s="1"/>
  <c r="I83" i="32"/>
  <c r="F83" i="34"/>
  <c r="P38" i="36"/>
  <c r="R38" i="36" s="1"/>
  <c r="P78" i="32"/>
  <c r="R78" i="32" s="1"/>
  <c r="Q38" i="31"/>
  <c r="P38" i="31"/>
  <c r="R38" i="31" s="1"/>
  <c r="Q60" i="31"/>
  <c r="P60" i="31"/>
  <c r="R60" i="31" s="1"/>
  <c r="Q64" i="31"/>
  <c r="P64" i="31"/>
  <c r="Q68" i="31"/>
  <c r="P68" i="31"/>
  <c r="P54" i="36"/>
  <c r="R54" i="36" s="1"/>
  <c r="P62" i="36"/>
  <c r="R62" i="36" s="1"/>
  <c r="P25" i="34"/>
  <c r="P61" i="34"/>
  <c r="P31" i="36"/>
  <c r="R31" i="36" s="1"/>
  <c r="P63" i="34"/>
  <c r="R63" i="34" s="1"/>
  <c r="Q16" i="31"/>
  <c r="Q35" i="31"/>
  <c r="Q37" i="31"/>
  <c r="Q39" i="31"/>
  <c r="Q53" i="31"/>
  <c r="Q79" i="31"/>
  <c r="Q81" i="31"/>
  <c r="I83" i="34"/>
  <c r="P37" i="31"/>
  <c r="R37" i="31" s="1"/>
  <c r="P81" i="31"/>
  <c r="R81" i="31" s="1"/>
  <c r="P73" i="34"/>
  <c r="P64" i="34"/>
  <c r="P31" i="34"/>
  <c r="P55" i="34"/>
  <c r="F83" i="36"/>
  <c r="P39" i="34"/>
  <c r="P47" i="34"/>
  <c r="P48" i="34"/>
  <c r="S57" i="34"/>
  <c r="P24" i="35"/>
  <c r="R24" i="35" s="1"/>
  <c r="P35" i="36"/>
  <c r="R35" i="36" s="1"/>
  <c r="P64" i="36"/>
  <c r="R64" i="36" s="1"/>
  <c r="P19" i="36"/>
  <c r="R19" i="36" s="1"/>
  <c r="P30" i="36"/>
  <c r="R30" i="36" s="1"/>
  <c r="P25" i="36"/>
  <c r="R25" i="36" s="1"/>
  <c r="P46" i="36"/>
  <c r="R46" i="36" s="1"/>
  <c r="P61" i="36"/>
  <c r="R61" i="36" s="1"/>
  <c r="P66" i="36"/>
  <c r="R66" i="36" s="1"/>
  <c r="P73" i="36"/>
  <c r="R73" i="36" s="1"/>
  <c r="P79" i="36"/>
  <c r="R79" i="36" s="1"/>
  <c r="P23" i="36"/>
  <c r="R23" i="36" s="1"/>
  <c r="P29" i="36"/>
  <c r="R29" i="36" s="1"/>
  <c r="P53" i="36"/>
  <c r="R53" i="36" s="1"/>
  <c r="P72" i="36"/>
  <c r="R72" i="36" s="1"/>
  <c r="P78" i="36"/>
  <c r="R78" i="36" s="1"/>
  <c r="N83" i="36"/>
  <c r="P21" i="36"/>
  <c r="R21" i="36" s="1"/>
  <c r="P28" i="36"/>
  <c r="R28" i="36" s="1"/>
  <c r="P32" i="36"/>
  <c r="R32" i="36" s="1"/>
  <c r="P40" i="36"/>
  <c r="R40" i="36" s="1"/>
  <c r="P52" i="36"/>
  <c r="R52" i="36" s="1"/>
  <c r="P59" i="36"/>
  <c r="R59" i="36" s="1"/>
  <c r="P70" i="36"/>
  <c r="R70" i="36" s="1"/>
  <c r="P24" i="36"/>
  <c r="R24" i="36" s="1"/>
  <c r="P43" i="36"/>
  <c r="R43" i="36" s="1"/>
  <c r="P51" i="36"/>
  <c r="R51" i="36" s="1"/>
  <c r="P57" i="36"/>
  <c r="R57" i="36" s="1"/>
  <c r="P65" i="36"/>
  <c r="R65" i="36" s="1"/>
  <c r="P71" i="36"/>
  <c r="R71" i="36" s="1"/>
  <c r="P80" i="36"/>
  <c r="R80" i="36" s="1"/>
  <c r="P49" i="36"/>
  <c r="R49" i="36" s="1"/>
  <c r="P55" i="36"/>
  <c r="R55" i="36" s="1"/>
  <c r="P77" i="36"/>
  <c r="R77" i="36" s="1"/>
  <c r="P63" i="36"/>
  <c r="R63" i="36" s="1"/>
  <c r="P68" i="36"/>
  <c r="R68" i="36" s="1"/>
  <c r="P33" i="36"/>
  <c r="R33" i="36" s="1"/>
  <c r="P37" i="36"/>
  <c r="R37" i="36" s="1"/>
  <c r="P60" i="36"/>
  <c r="R60" i="36" s="1"/>
  <c r="L83" i="36"/>
  <c r="I83" i="36"/>
  <c r="P16" i="36"/>
  <c r="R16" i="36" s="1"/>
  <c r="R39" i="31"/>
  <c r="R19" i="31"/>
  <c r="R34" i="31"/>
  <c r="R54" i="31"/>
  <c r="L83" i="35"/>
  <c r="N83" i="35"/>
  <c r="N83" i="34"/>
  <c r="L83" i="34"/>
  <c r="R82" i="34"/>
  <c r="L83" i="32"/>
  <c r="N83" i="32"/>
  <c r="R82" i="32"/>
  <c r="R28" i="31"/>
  <c r="Q19" i="31"/>
  <c r="Q24" i="31"/>
  <c r="Q29" i="31"/>
  <c r="Q71" i="31"/>
  <c r="Q36" i="31"/>
  <c r="R51" i="31"/>
  <c r="Q61" i="31"/>
  <c r="Q63" i="31"/>
  <c r="Q65" i="31"/>
  <c r="Q67" i="31"/>
  <c r="Q70" i="31"/>
  <c r="R82" i="31"/>
  <c r="Q59" i="31"/>
  <c r="R18" i="31"/>
  <c r="R27" i="31"/>
  <c r="Q18" i="31"/>
  <c r="Q23" i="31"/>
  <c r="Q32" i="31"/>
  <c r="Q58" i="31"/>
  <c r="Q76" i="31"/>
  <c r="Q28" i="31"/>
  <c r="F83" i="31"/>
  <c r="Q51" i="31"/>
  <c r="Q57" i="31"/>
  <c r="Q78" i="31"/>
  <c r="Q80" i="31"/>
  <c r="Q17" i="31"/>
  <c r="Q21" i="31"/>
  <c r="Q42" i="31"/>
  <c r="R44" i="31"/>
  <c r="Q45" i="31"/>
  <c r="R80" i="31"/>
  <c r="R21" i="31"/>
  <c r="R42" i="31"/>
  <c r="Q54" i="31"/>
  <c r="R29" i="31"/>
  <c r="R58" i="31"/>
  <c r="R32" i="31"/>
  <c r="Q46" i="31"/>
  <c r="R78" i="31"/>
  <c r="Q33" i="31"/>
  <c r="R33" i="31"/>
  <c r="R46" i="31"/>
  <c r="R70" i="31"/>
  <c r="R79" i="31"/>
  <c r="R23" i="31"/>
  <c r="Q50" i="31"/>
  <c r="R17" i="31"/>
  <c r="R45" i="31"/>
  <c r="R50" i="31"/>
  <c r="R57" i="31"/>
  <c r="R24" i="31"/>
  <c r="R72" i="31"/>
  <c r="R55" i="31"/>
  <c r="R47" i="31"/>
  <c r="R43" i="31"/>
  <c r="R36" i="31"/>
  <c r="R25" i="31"/>
  <c r="R16" i="31"/>
  <c r="L83" i="31"/>
  <c r="R59" i="31"/>
  <c r="R61" i="31"/>
  <c r="R62" i="31"/>
  <c r="R63" i="31"/>
  <c r="R64" i="31"/>
  <c r="R65" i="31"/>
  <c r="R67" i="31"/>
  <c r="R68" i="31"/>
  <c r="N83" i="31"/>
  <c r="Q25" i="31"/>
  <c r="AX23" i="24"/>
  <c r="AX63" i="24"/>
  <c r="AX39" i="24"/>
  <c r="AX28" i="24"/>
  <c r="AX70" i="24"/>
  <c r="AX32" i="24"/>
  <c r="AX38" i="24"/>
  <c r="AX65" i="24"/>
  <c r="AX21" i="24"/>
  <c r="AX45" i="24"/>
  <c r="AX17" i="24"/>
  <c r="AX76" i="24"/>
  <c r="AX59" i="24"/>
  <c r="AX60" i="24"/>
  <c r="AX72" i="24"/>
  <c r="AX33" i="24"/>
  <c r="AX58" i="24"/>
  <c r="AX47" i="24"/>
  <c r="AX16" i="24"/>
  <c r="AX78" i="24"/>
  <c r="AX81" i="24"/>
  <c r="AX80" i="24"/>
  <c r="AX35" i="24"/>
  <c r="AX27" i="24"/>
  <c r="AX29" i="24"/>
  <c r="AX74" i="24"/>
  <c r="AX61" i="24"/>
  <c r="AX24" i="24"/>
  <c r="AX77" i="24"/>
  <c r="AX44" i="24"/>
  <c r="AX79" i="24"/>
  <c r="AX73" i="24"/>
  <c r="AX51" i="24"/>
  <c r="AX54" i="24"/>
  <c r="AX46" i="24"/>
  <c r="AX19" i="24"/>
  <c r="AX31" i="24"/>
  <c r="AX57" i="24"/>
  <c r="AX36" i="24"/>
  <c r="AX34" i="24"/>
  <c r="AX52" i="24"/>
  <c r="AX40" i="24"/>
  <c r="AX25" i="24"/>
  <c r="AX71" i="24"/>
  <c r="AX18" i="24"/>
  <c r="AX49" i="24"/>
  <c r="AX37" i="24"/>
  <c r="AX66" i="24"/>
  <c r="AX64" i="24"/>
  <c r="AX50" i="24"/>
  <c r="AX30" i="24"/>
  <c r="AX62" i="24"/>
  <c r="AX53" i="24"/>
  <c r="AX68" i="24"/>
  <c r="AX20" i="24"/>
  <c r="AX48" i="24"/>
  <c r="AX67" i="24"/>
  <c r="AX55" i="24"/>
  <c r="S77" i="34" l="1"/>
  <c r="R77" i="34"/>
  <c r="S42" i="34"/>
  <c r="R42" i="34"/>
  <c r="S76" i="34"/>
  <c r="R76" i="34"/>
  <c r="S32" i="34"/>
  <c r="R32" i="34"/>
  <c r="S55" i="34"/>
  <c r="R55" i="34"/>
  <c r="S61" i="34"/>
  <c r="R61" i="34"/>
  <c r="S60" i="34"/>
  <c r="R60" i="34"/>
  <c r="S17" i="34"/>
  <c r="S31" i="34"/>
  <c r="R31" i="34"/>
  <c r="S25" i="34"/>
  <c r="R25" i="34"/>
  <c r="S67" i="34"/>
  <c r="R67" i="34"/>
  <c r="S33" i="34"/>
  <c r="R33" i="34"/>
  <c r="S66" i="34"/>
  <c r="R66" i="34"/>
  <c r="S19" i="34"/>
  <c r="R19" i="34"/>
  <c r="S36" i="34"/>
  <c r="R36" i="34"/>
  <c r="S80" i="34"/>
  <c r="R80" i="34"/>
  <c r="S52" i="34"/>
  <c r="R52" i="34"/>
  <c r="S64" i="34"/>
  <c r="R64" i="34"/>
  <c r="S51" i="34"/>
  <c r="R51" i="34"/>
  <c r="S65" i="34"/>
  <c r="R65" i="34"/>
  <c r="S30" i="34"/>
  <c r="R30" i="34"/>
  <c r="S46" i="34"/>
  <c r="R46" i="34"/>
  <c r="S71" i="34"/>
  <c r="R71" i="34"/>
  <c r="S44" i="34"/>
  <c r="R44" i="34"/>
  <c r="S73" i="34"/>
  <c r="R73" i="34"/>
  <c r="S49" i="34"/>
  <c r="R49" i="34"/>
  <c r="S59" i="34"/>
  <c r="R59" i="34"/>
  <c r="S21" i="34"/>
  <c r="R21" i="34"/>
  <c r="S58" i="34"/>
  <c r="R58" i="34"/>
  <c r="S81" i="34"/>
  <c r="R81" i="34"/>
  <c r="S28" i="34"/>
  <c r="R28" i="34"/>
  <c r="S79" i="34"/>
  <c r="R79" i="34"/>
  <c r="S40" i="34"/>
  <c r="R40" i="34"/>
  <c r="S38" i="34"/>
  <c r="R38" i="34"/>
  <c r="S54" i="34"/>
  <c r="R54" i="34"/>
  <c r="S48" i="34"/>
  <c r="R48" i="34"/>
  <c r="S27" i="34"/>
  <c r="R27" i="34"/>
  <c r="S78" i="34"/>
  <c r="R78" i="34"/>
  <c r="S43" i="34"/>
  <c r="R43" i="34"/>
  <c r="S18" i="34"/>
  <c r="R18" i="34"/>
  <c r="S37" i="34"/>
  <c r="R37" i="34"/>
  <c r="S62" i="34"/>
  <c r="R62" i="34"/>
  <c r="S35" i="34"/>
  <c r="R35" i="34"/>
  <c r="S47" i="34"/>
  <c r="R47" i="34"/>
  <c r="S45" i="34"/>
  <c r="R45" i="34"/>
  <c r="S50" i="34"/>
  <c r="R50" i="34"/>
  <c r="S72" i="34"/>
  <c r="R72" i="34"/>
  <c r="S16" i="34"/>
  <c r="R16" i="34"/>
  <c r="S70" i="34"/>
  <c r="R70" i="34"/>
  <c r="S74" i="34"/>
  <c r="R74" i="34"/>
  <c r="S39" i="34"/>
  <c r="R39" i="34"/>
  <c r="S20" i="34"/>
  <c r="R20" i="34"/>
  <c r="S68" i="34"/>
  <c r="R68" i="34"/>
  <c r="S34" i="34"/>
  <c r="R34" i="34"/>
  <c r="S29" i="34"/>
  <c r="R29" i="34"/>
  <c r="S53" i="34"/>
  <c r="R53" i="34"/>
  <c r="S24" i="34"/>
  <c r="R24" i="34"/>
  <c r="Q83" i="32"/>
  <c r="S23" i="34"/>
  <c r="Q83" i="34"/>
  <c r="Q83" i="35"/>
  <c r="S63" i="34"/>
  <c r="G15" i="25"/>
  <c r="Q83" i="36"/>
  <c r="P83" i="36"/>
  <c r="P83" i="34"/>
  <c r="P83" i="32"/>
  <c r="P83" i="31"/>
  <c r="Q83" i="31"/>
  <c r="D8" i="30"/>
  <c r="R82" i="30"/>
  <c r="O83" i="30"/>
  <c r="H15" i="25" l="1"/>
  <c r="G31" i="25"/>
  <c r="G28" i="25"/>
  <c r="G33" i="25"/>
  <c r="G30" i="25"/>
  <c r="G29" i="25"/>
  <c r="G25" i="25"/>
  <c r="G27" i="25"/>
  <c r="G32" i="25"/>
  <c r="G26" i="25"/>
  <c r="G34" i="25"/>
  <c r="G13" i="25"/>
  <c r="G23" i="25"/>
  <c r="G17" i="25"/>
  <c r="G16" i="25"/>
  <c r="G18" i="25"/>
  <c r="G12" i="25"/>
  <c r="G24" i="25"/>
  <c r="G19" i="25"/>
  <c r="G11" i="25"/>
  <c r="G21" i="25"/>
  <c r="G20" i="25"/>
  <c r="G14" i="25"/>
  <c r="G22" i="25"/>
  <c r="M12" i="29"/>
  <c r="I83" i="30"/>
  <c r="N83" i="30"/>
  <c r="L83" i="30"/>
  <c r="F83" i="30"/>
  <c r="L21" i="25" l="1"/>
  <c r="I21" i="25"/>
  <c r="H21" i="25"/>
  <c r="Q11" i="25"/>
  <c r="Q12" i="25" s="1"/>
  <c r="L11" i="25"/>
  <c r="M11" i="25" s="1"/>
  <c r="I11" i="25"/>
  <c r="H11" i="25"/>
  <c r="L19" i="25"/>
  <c r="I19" i="25"/>
  <c r="H19" i="25"/>
  <c r="H24" i="25"/>
  <c r="L26" i="25"/>
  <c r="I26" i="25"/>
  <c r="H26" i="25"/>
  <c r="L31" i="25"/>
  <c r="I31" i="25"/>
  <c r="H31" i="25"/>
  <c r="H20" i="25"/>
  <c r="L30" i="25"/>
  <c r="I30" i="25"/>
  <c r="H30" i="25"/>
  <c r="L34" i="25"/>
  <c r="I34" i="25"/>
  <c r="H34" i="25"/>
  <c r="I12" i="25"/>
  <c r="H12" i="25"/>
  <c r="L12" i="25"/>
  <c r="I32" i="25"/>
  <c r="H32" i="25"/>
  <c r="L32" i="25"/>
  <c r="H29" i="25"/>
  <c r="L13" i="25"/>
  <c r="I13" i="25"/>
  <c r="H13" i="25"/>
  <c r="I28" i="25"/>
  <c r="L28" i="25"/>
  <c r="H28" i="25"/>
  <c r="L18" i="25"/>
  <c r="I18" i="25"/>
  <c r="H18" i="25"/>
  <c r="H27" i="25"/>
  <c r="H17" i="25"/>
  <c r="L23" i="25"/>
  <c r="I23" i="25"/>
  <c r="H23" i="25"/>
  <c r="L33" i="25"/>
  <c r="I33" i="25"/>
  <c r="H33" i="25"/>
  <c r="L22" i="25"/>
  <c r="I22" i="25"/>
  <c r="H22" i="25"/>
  <c r="L14" i="25"/>
  <c r="I14" i="25"/>
  <c r="H14" i="25"/>
  <c r="I16" i="25"/>
  <c r="H16" i="25"/>
  <c r="L16" i="25"/>
  <c r="L25" i="25"/>
  <c r="I25" i="25"/>
  <c r="H25" i="25"/>
  <c r="P83" i="30"/>
  <c r="Q83" i="30"/>
  <c r="M12" i="25" l="1"/>
  <c r="M13" i="25" s="1"/>
  <c r="Q13" i="25"/>
  <c r="D25" i="29"/>
  <c r="E10" i="25"/>
  <c r="M14" i="25" l="1"/>
  <c r="Q14" i="25"/>
  <c r="I27" i="24"/>
  <c r="I25" i="24"/>
  <c r="AH25" i="24" l="1"/>
  <c r="V25" i="24"/>
  <c r="AK25" i="24"/>
  <c r="Y25" i="24"/>
  <c r="AB25" i="24"/>
  <c r="M25" i="24"/>
  <c r="S25" i="24"/>
  <c r="P25" i="24"/>
  <c r="AE25" i="24"/>
  <c r="AN25" i="24"/>
  <c r="AR25" i="24"/>
  <c r="AE27" i="24"/>
  <c r="Y27" i="24"/>
  <c r="M27" i="24"/>
  <c r="S27" i="24"/>
  <c r="AK27" i="24"/>
  <c r="AN27" i="24"/>
  <c r="AH27" i="24"/>
  <c r="V27" i="24"/>
  <c r="P27" i="24"/>
  <c r="AB27" i="24"/>
  <c r="AR27" i="24"/>
  <c r="Q15" i="25"/>
  <c r="A11" i="25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E11" i="25"/>
  <c r="AO68" i="24"/>
  <c r="AQ68" i="24" s="1"/>
  <c r="J68" i="24"/>
  <c r="I68" i="24"/>
  <c r="F68" i="24"/>
  <c r="AO67" i="24"/>
  <c r="AQ67" i="24" s="1"/>
  <c r="J67" i="24"/>
  <c r="I67" i="24"/>
  <c r="F67" i="24"/>
  <c r="AO66" i="24"/>
  <c r="AQ66" i="24" s="1"/>
  <c r="J66" i="24"/>
  <c r="I66" i="24"/>
  <c r="F66" i="24"/>
  <c r="AO65" i="24"/>
  <c r="AQ65" i="24" s="1"/>
  <c r="J65" i="24"/>
  <c r="I65" i="24"/>
  <c r="F65" i="24"/>
  <c r="AO64" i="24"/>
  <c r="AQ64" i="24" s="1"/>
  <c r="J64" i="24"/>
  <c r="I64" i="24"/>
  <c r="F64" i="24"/>
  <c r="AO63" i="24"/>
  <c r="AQ63" i="24" s="1"/>
  <c r="J63" i="24"/>
  <c r="I63" i="24"/>
  <c r="F63" i="24"/>
  <c r="AO62" i="24"/>
  <c r="AQ62" i="24" s="1"/>
  <c r="J62" i="24"/>
  <c r="I62" i="24"/>
  <c r="F62" i="24"/>
  <c r="AO61" i="24"/>
  <c r="AQ61" i="24" s="1"/>
  <c r="J61" i="24"/>
  <c r="I61" i="24"/>
  <c r="F61" i="24"/>
  <c r="AO60" i="24"/>
  <c r="AQ60" i="24" s="1"/>
  <c r="J60" i="24"/>
  <c r="I60" i="24"/>
  <c r="F60" i="24"/>
  <c r="AO59" i="24"/>
  <c r="AQ59" i="24" s="1"/>
  <c r="J59" i="24"/>
  <c r="I59" i="24"/>
  <c r="F59" i="24"/>
  <c r="AO58" i="24"/>
  <c r="AQ58" i="24" s="1"/>
  <c r="J58" i="24"/>
  <c r="I58" i="24"/>
  <c r="F58" i="24"/>
  <c r="A58" i="24"/>
  <c r="A59" i="24" s="1"/>
  <c r="A60" i="24" s="1"/>
  <c r="A61" i="24" s="1"/>
  <c r="A62" i="24" s="1"/>
  <c r="A63" i="24" s="1"/>
  <c r="A64" i="24" s="1"/>
  <c r="A65" i="24" s="1"/>
  <c r="A66" i="24" s="1"/>
  <c r="A67" i="24" s="1"/>
  <c r="A68" i="24" s="1"/>
  <c r="AO57" i="24"/>
  <c r="AQ57" i="24" s="1"/>
  <c r="J57" i="24"/>
  <c r="I57" i="24"/>
  <c r="F57" i="24"/>
  <c r="AO55" i="24"/>
  <c r="AQ55" i="24" s="1"/>
  <c r="J55" i="24"/>
  <c r="I55" i="24"/>
  <c r="F55" i="24"/>
  <c r="AO54" i="24"/>
  <c r="AQ54" i="24" s="1"/>
  <c r="J54" i="24"/>
  <c r="I54" i="24"/>
  <c r="F54" i="24"/>
  <c r="AO53" i="24"/>
  <c r="AQ53" i="24" s="1"/>
  <c r="J53" i="24"/>
  <c r="I53" i="24"/>
  <c r="F53" i="24"/>
  <c r="AO52" i="24"/>
  <c r="AQ52" i="24" s="1"/>
  <c r="J52" i="24"/>
  <c r="I52" i="24"/>
  <c r="F52" i="24"/>
  <c r="AO51" i="24"/>
  <c r="AQ51" i="24" s="1"/>
  <c r="J51" i="24"/>
  <c r="I51" i="24"/>
  <c r="F51" i="24"/>
  <c r="AO50" i="24"/>
  <c r="AQ50" i="24" s="1"/>
  <c r="J50" i="24"/>
  <c r="I50" i="24"/>
  <c r="F50" i="24"/>
  <c r="AO49" i="24"/>
  <c r="AQ49" i="24" s="1"/>
  <c r="J49" i="24"/>
  <c r="I49" i="24"/>
  <c r="F49" i="24"/>
  <c r="AO48" i="24"/>
  <c r="AQ48" i="24" s="1"/>
  <c r="J48" i="24"/>
  <c r="I48" i="24"/>
  <c r="F48" i="24"/>
  <c r="AO47" i="24"/>
  <c r="AQ47" i="24" s="1"/>
  <c r="J47" i="24"/>
  <c r="I47" i="24"/>
  <c r="F47" i="24"/>
  <c r="AO46" i="24"/>
  <c r="AQ46" i="24" s="1"/>
  <c r="J46" i="24"/>
  <c r="I46" i="24"/>
  <c r="F46" i="24"/>
  <c r="AO45" i="24"/>
  <c r="AQ45" i="24" s="1"/>
  <c r="J45" i="24"/>
  <c r="I45" i="24"/>
  <c r="F45" i="24"/>
  <c r="AO44" i="24"/>
  <c r="AQ44" i="24" s="1"/>
  <c r="J44" i="24"/>
  <c r="I44" i="24"/>
  <c r="F44" i="24"/>
  <c r="L43" i="24"/>
  <c r="J43" i="24"/>
  <c r="I43" i="24"/>
  <c r="F43" i="24"/>
  <c r="A43" i="24"/>
  <c r="A44" i="24" s="1"/>
  <c r="A45" i="24" s="1"/>
  <c r="A46" i="24" s="1"/>
  <c r="A47" i="24" s="1"/>
  <c r="A48" i="24" s="1"/>
  <c r="A49" i="24" s="1"/>
  <c r="A50" i="24" s="1"/>
  <c r="A51" i="24" s="1"/>
  <c r="A52" i="24" s="1"/>
  <c r="A53" i="24" s="1"/>
  <c r="A54" i="24" s="1"/>
  <c r="A55" i="24" s="1"/>
  <c r="L42" i="24"/>
  <c r="J42" i="24"/>
  <c r="I42" i="24"/>
  <c r="F42" i="24"/>
  <c r="AO37" i="24"/>
  <c r="AQ37" i="24" s="1"/>
  <c r="J37" i="24"/>
  <c r="I37" i="24"/>
  <c r="F37" i="24"/>
  <c r="AO36" i="24"/>
  <c r="AQ36" i="24" s="1"/>
  <c r="J36" i="24"/>
  <c r="I36" i="24"/>
  <c r="F36" i="24"/>
  <c r="AO35" i="24"/>
  <c r="AQ35" i="24" s="1"/>
  <c r="J35" i="24"/>
  <c r="I35" i="24"/>
  <c r="F35" i="24"/>
  <c r="AO34" i="24"/>
  <c r="AQ34" i="24" s="1"/>
  <c r="J34" i="24"/>
  <c r="I34" i="24"/>
  <c r="F34" i="24"/>
  <c r="AO33" i="24"/>
  <c r="AQ33" i="24" s="1"/>
  <c r="J33" i="24"/>
  <c r="I33" i="24"/>
  <c r="F33" i="24"/>
  <c r="AO32" i="24"/>
  <c r="AQ32" i="24" s="1"/>
  <c r="J32" i="24"/>
  <c r="I32" i="24"/>
  <c r="F32" i="24"/>
  <c r="AO31" i="24"/>
  <c r="AQ31" i="24" s="1"/>
  <c r="J31" i="24"/>
  <c r="I31" i="24"/>
  <c r="F31" i="24"/>
  <c r="AO30" i="24"/>
  <c r="AQ30" i="24" s="1"/>
  <c r="J30" i="24"/>
  <c r="I30" i="24"/>
  <c r="F30" i="24"/>
  <c r="AO29" i="24"/>
  <c r="AQ29" i="24" s="1"/>
  <c r="J29" i="24"/>
  <c r="I29" i="24"/>
  <c r="F29" i="24"/>
  <c r="AO28" i="24"/>
  <c r="AQ28" i="24" s="1"/>
  <c r="J28" i="24"/>
  <c r="I28" i="24"/>
  <c r="F28" i="24"/>
  <c r="A28" i="24"/>
  <c r="A29" i="24" s="1"/>
  <c r="A30" i="24" s="1"/>
  <c r="A31" i="24" s="1"/>
  <c r="A32" i="24" s="1"/>
  <c r="A33" i="24" s="1"/>
  <c r="A34" i="24" s="1"/>
  <c r="A35" i="24" s="1"/>
  <c r="A36" i="24" s="1"/>
  <c r="A37" i="24" s="1"/>
  <c r="A38" i="24" s="1"/>
  <c r="A39" i="24" s="1"/>
  <c r="A40" i="24" s="1"/>
  <c r="AO27" i="24"/>
  <c r="AQ27" i="24" s="1"/>
  <c r="J27" i="24"/>
  <c r="F27" i="24"/>
  <c r="AO25" i="24"/>
  <c r="AQ25" i="24" s="1"/>
  <c r="J25" i="24"/>
  <c r="F25" i="24"/>
  <c r="AO24" i="24"/>
  <c r="AQ24" i="24" s="1"/>
  <c r="J24" i="24"/>
  <c r="I24" i="24"/>
  <c r="F24" i="24"/>
  <c r="AO23" i="24"/>
  <c r="AQ23" i="24" s="1"/>
  <c r="J23" i="24"/>
  <c r="I23" i="24"/>
  <c r="AK23" i="24" s="1"/>
  <c r="F23" i="24"/>
  <c r="AO21" i="24"/>
  <c r="AQ21" i="24" s="1"/>
  <c r="J21" i="24"/>
  <c r="I21" i="24"/>
  <c r="F21" i="24"/>
  <c r="AO20" i="24"/>
  <c r="AQ20" i="24" s="1"/>
  <c r="J20" i="24"/>
  <c r="I20" i="24"/>
  <c r="F20" i="24"/>
  <c r="AO19" i="24"/>
  <c r="AQ19" i="24" s="1"/>
  <c r="J19" i="24"/>
  <c r="I19" i="24"/>
  <c r="F19" i="24"/>
  <c r="J18" i="24"/>
  <c r="I18" i="24"/>
  <c r="F18" i="24"/>
  <c r="J17" i="24"/>
  <c r="I17" i="24"/>
  <c r="F17" i="24"/>
  <c r="A17" i="24"/>
  <c r="J16" i="24"/>
  <c r="I16" i="24"/>
  <c r="F16" i="24"/>
  <c r="D9" i="24"/>
  <c r="D8" i="24"/>
  <c r="D7" i="24"/>
  <c r="D5" i="24"/>
  <c r="E6" i="29"/>
  <c r="D6" i="24" s="1"/>
  <c r="AE18" i="24" l="1"/>
  <c r="Y18" i="24"/>
  <c r="S18" i="24"/>
  <c r="V18" i="24"/>
  <c r="AH18" i="24"/>
  <c r="AK18" i="24"/>
  <c r="P18" i="24"/>
  <c r="AB18" i="24"/>
  <c r="AN18" i="24"/>
  <c r="M18" i="24"/>
  <c r="AR18" i="24"/>
  <c r="AT18" i="24"/>
  <c r="AU18" i="24" s="1"/>
  <c r="AH63" i="24"/>
  <c r="AB63" i="24"/>
  <c r="AE63" i="24"/>
  <c r="M63" i="24"/>
  <c r="V63" i="24"/>
  <c r="P63" i="24"/>
  <c r="AK63" i="24"/>
  <c r="Y63" i="24"/>
  <c r="S63" i="24"/>
  <c r="AN63" i="24"/>
  <c r="AR63" i="24"/>
  <c r="AK29" i="24"/>
  <c r="AE29" i="24"/>
  <c r="Y29" i="24"/>
  <c r="M29" i="24"/>
  <c r="S29" i="24"/>
  <c r="AN29" i="24"/>
  <c r="V29" i="24"/>
  <c r="P29" i="24"/>
  <c r="AB29" i="24"/>
  <c r="AH29" i="24"/>
  <c r="AR29" i="24"/>
  <c r="M31" i="24"/>
  <c r="AB31" i="24"/>
  <c r="V31" i="24"/>
  <c r="AN31" i="24"/>
  <c r="P31" i="24"/>
  <c r="Y31" i="24"/>
  <c r="S31" i="24"/>
  <c r="AK31" i="24"/>
  <c r="AE31" i="24"/>
  <c r="AH31" i="24"/>
  <c r="AR31" i="24"/>
  <c r="AN33" i="24"/>
  <c r="AH33" i="24"/>
  <c r="AB33" i="24"/>
  <c r="M33" i="24"/>
  <c r="V33" i="24"/>
  <c r="Y33" i="24"/>
  <c r="S33" i="24"/>
  <c r="AE33" i="24"/>
  <c r="P33" i="24"/>
  <c r="AK33" i="24"/>
  <c r="AR33" i="24"/>
  <c r="V35" i="24"/>
  <c r="AE35" i="24"/>
  <c r="Y35" i="24"/>
  <c r="S35" i="24"/>
  <c r="M35" i="24"/>
  <c r="AN35" i="24"/>
  <c r="AB35" i="24"/>
  <c r="AK35" i="24"/>
  <c r="P35" i="24"/>
  <c r="AH35" i="24"/>
  <c r="AR35" i="24"/>
  <c r="AK37" i="24"/>
  <c r="AE37" i="24"/>
  <c r="Y37" i="24"/>
  <c r="AH37" i="24"/>
  <c r="AB37" i="24"/>
  <c r="V37" i="24"/>
  <c r="S37" i="24"/>
  <c r="AN37" i="24"/>
  <c r="P37" i="24"/>
  <c r="M37" i="24"/>
  <c r="AR37" i="24"/>
  <c r="AB61" i="24"/>
  <c r="AN61" i="24"/>
  <c r="AH61" i="24"/>
  <c r="Y61" i="24"/>
  <c r="S61" i="24"/>
  <c r="AK61" i="24"/>
  <c r="AE61" i="24"/>
  <c r="V61" i="24"/>
  <c r="P61" i="24"/>
  <c r="M61" i="24"/>
  <c r="AR61" i="24"/>
  <c r="P67" i="24"/>
  <c r="AK67" i="24"/>
  <c r="AE67" i="24"/>
  <c r="Y67" i="24"/>
  <c r="S67" i="24"/>
  <c r="AN67" i="24"/>
  <c r="AH67" i="24"/>
  <c r="AB67" i="24"/>
  <c r="M67" i="24"/>
  <c r="V67" i="24"/>
  <c r="AR67" i="24"/>
  <c r="AK16" i="24"/>
  <c r="AE16" i="24"/>
  <c r="S16" i="24"/>
  <c r="V16" i="24"/>
  <c r="AN16" i="24"/>
  <c r="Y16" i="24"/>
  <c r="AH16" i="24"/>
  <c r="P16" i="24"/>
  <c r="M16" i="24"/>
  <c r="AB16" i="24"/>
  <c r="AR16" i="24"/>
  <c r="AT16" i="24"/>
  <c r="AU16" i="24" s="1"/>
  <c r="Y21" i="24"/>
  <c r="AB21" i="24"/>
  <c r="V21" i="24"/>
  <c r="AN21" i="24"/>
  <c r="P21" i="24"/>
  <c r="AE21" i="24"/>
  <c r="AH21" i="24"/>
  <c r="M21" i="24"/>
  <c r="AK21" i="24"/>
  <c r="S21" i="24"/>
  <c r="AR21" i="24"/>
  <c r="P43" i="24"/>
  <c r="S43" i="24"/>
  <c r="AN43" i="24"/>
  <c r="AH43" i="24"/>
  <c r="AE43" i="24"/>
  <c r="AK43" i="24"/>
  <c r="Y43" i="24"/>
  <c r="V43" i="24"/>
  <c r="AB43" i="24"/>
  <c r="AB55" i="24"/>
  <c r="V55" i="24"/>
  <c r="P55" i="24"/>
  <c r="M55" i="24"/>
  <c r="AK55" i="24"/>
  <c r="Y55" i="24"/>
  <c r="AN55" i="24"/>
  <c r="AE55" i="24"/>
  <c r="S55" i="24"/>
  <c r="AH55" i="24"/>
  <c r="AR55" i="24"/>
  <c r="P58" i="24"/>
  <c r="AE58" i="24"/>
  <c r="Y58" i="24"/>
  <c r="AN58" i="24"/>
  <c r="S58" i="24"/>
  <c r="AH58" i="24"/>
  <c r="M58" i="24"/>
  <c r="AK58" i="24"/>
  <c r="AB58" i="24"/>
  <c r="V58" i="24"/>
  <c r="AR58" i="24"/>
  <c r="P60" i="24"/>
  <c r="AE60" i="24"/>
  <c r="Y60" i="24"/>
  <c r="V60" i="24"/>
  <c r="S60" i="24"/>
  <c r="M60" i="24"/>
  <c r="AN60" i="24"/>
  <c r="AK60" i="24"/>
  <c r="AB60" i="24"/>
  <c r="AH60" i="24"/>
  <c r="AR60" i="24"/>
  <c r="S62" i="24"/>
  <c r="AN62" i="24"/>
  <c r="M62" i="24"/>
  <c r="AB62" i="24"/>
  <c r="V62" i="24"/>
  <c r="AH62" i="24"/>
  <c r="AK62" i="24"/>
  <c r="P62" i="24"/>
  <c r="AE62" i="24"/>
  <c r="Y62" i="24"/>
  <c r="AR62" i="24"/>
  <c r="AB64" i="24"/>
  <c r="S64" i="24"/>
  <c r="V64" i="24"/>
  <c r="P64" i="24"/>
  <c r="AE64" i="24"/>
  <c r="M64" i="24"/>
  <c r="AN64" i="24"/>
  <c r="Y64" i="24"/>
  <c r="AK64" i="24"/>
  <c r="AH64" i="24"/>
  <c r="AR64" i="24"/>
  <c r="V66" i="24"/>
  <c r="P66" i="24"/>
  <c r="Y66" i="24"/>
  <c r="AN66" i="24"/>
  <c r="S66" i="24"/>
  <c r="M66" i="24"/>
  <c r="AK66" i="24"/>
  <c r="AH66" i="24"/>
  <c r="AB66" i="24"/>
  <c r="AE66" i="24"/>
  <c r="AR66" i="24"/>
  <c r="AE68" i="24"/>
  <c r="AB68" i="24"/>
  <c r="Y68" i="24"/>
  <c r="V68" i="24"/>
  <c r="S68" i="24"/>
  <c r="P68" i="24"/>
  <c r="AH68" i="24"/>
  <c r="AK68" i="24"/>
  <c r="M68" i="24"/>
  <c r="AN68" i="24"/>
  <c r="AR68" i="24"/>
  <c r="AN24" i="24"/>
  <c r="AH24" i="24"/>
  <c r="AB24" i="24"/>
  <c r="M24" i="24"/>
  <c r="V24" i="24"/>
  <c r="P24" i="24"/>
  <c r="AK24" i="24"/>
  <c r="AE24" i="24"/>
  <c r="S24" i="24"/>
  <c r="Y24" i="24"/>
  <c r="AR24" i="24"/>
  <c r="V47" i="24"/>
  <c r="M47" i="24"/>
  <c r="S47" i="24"/>
  <c r="P47" i="24"/>
  <c r="AE47" i="24"/>
  <c r="AK47" i="24"/>
  <c r="Y47" i="24"/>
  <c r="AH47" i="24"/>
  <c r="AN47" i="24"/>
  <c r="AB47" i="24"/>
  <c r="AR47" i="24"/>
  <c r="M53" i="24"/>
  <c r="AB53" i="24"/>
  <c r="V53" i="24"/>
  <c r="AH53" i="24"/>
  <c r="AK53" i="24"/>
  <c r="P53" i="24"/>
  <c r="AN53" i="24"/>
  <c r="AE53" i="24"/>
  <c r="Y53" i="24"/>
  <c r="S53" i="24"/>
  <c r="AR53" i="24"/>
  <c r="M43" i="24"/>
  <c r="AP43" i="24"/>
  <c r="AT43" i="24" s="1"/>
  <c r="AU43" i="24" s="1"/>
  <c r="V45" i="24"/>
  <c r="AH45" i="24"/>
  <c r="AK45" i="24"/>
  <c r="P45" i="24"/>
  <c r="AN45" i="24"/>
  <c r="Y45" i="24"/>
  <c r="S45" i="24"/>
  <c r="AB45" i="24"/>
  <c r="M45" i="24"/>
  <c r="AE45" i="24"/>
  <c r="AR45" i="24"/>
  <c r="Y51" i="24"/>
  <c r="S51" i="24"/>
  <c r="V51" i="24"/>
  <c r="M51" i="24"/>
  <c r="AN51" i="24"/>
  <c r="AH51" i="24"/>
  <c r="AB51" i="24"/>
  <c r="AK51" i="24"/>
  <c r="P51" i="24"/>
  <c r="AE51" i="24"/>
  <c r="AR51" i="24"/>
  <c r="Y17" i="24"/>
  <c r="S17" i="24"/>
  <c r="P17" i="24"/>
  <c r="AB17" i="24"/>
  <c r="AK17" i="24"/>
  <c r="M17" i="24"/>
  <c r="AH17" i="24"/>
  <c r="V17" i="24"/>
  <c r="AN17" i="24"/>
  <c r="AE17" i="24"/>
  <c r="AR17" i="24"/>
  <c r="AT17" i="24"/>
  <c r="AU17" i="24" s="1"/>
  <c r="M28" i="24"/>
  <c r="AE28" i="24"/>
  <c r="Y28" i="24"/>
  <c r="AB28" i="24"/>
  <c r="V28" i="24"/>
  <c r="P28" i="24"/>
  <c r="AN28" i="24"/>
  <c r="AK28" i="24"/>
  <c r="S28" i="24"/>
  <c r="AH28" i="24"/>
  <c r="AR28" i="24"/>
  <c r="Y30" i="24"/>
  <c r="AK30" i="24"/>
  <c r="S30" i="24"/>
  <c r="AE30" i="24"/>
  <c r="AN30" i="24"/>
  <c r="AH30" i="24"/>
  <c r="AB30" i="24"/>
  <c r="M30" i="24"/>
  <c r="V30" i="24"/>
  <c r="P30" i="24"/>
  <c r="AR30" i="24"/>
  <c r="M32" i="24"/>
  <c r="AH32" i="24"/>
  <c r="AB32" i="24"/>
  <c r="AK32" i="24"/>
  <c r="P32" i="24"/>
  <c r="AE32" i="24"/>
  <c r="Y32" i="24"/>
  <c r="V32" i="24"/>
  <c r="S32" i="24"/>
  <c r="AN32" i="24"/>
  <c r="AR32" i="24"/>
  <c r="AN34" i="24"/>
  <c r="M34" i="24"/>
  <c r="AB34" i="24"/>
  <c r="AH34" i="24"/>
  <c r="V34" i="24"/>
  <c r="AK34" i="24"/>
  <c r="AE34" i="24"/>
  <c r="Y34" i="24"/>
  <c r="P34" i="24"/>
  <c r="S34" i="24"/>
  <c r="AR34" i="24"/>
  <c r="AH36" i="24"/>
  <c r="AK36" i="24"/>
  <c r="AN36" i="24"/>
  <c r="P36" i="24"/>
  <c r="M36" i="24"/>
  <c r="AE36" i="24"/>
  <c r="S36" i="24"/>
  <c r="AB36" i="24"/>
  <c r="Y36" i="24"/>
  <c r="V36" i="24"/>
  <c r="AR36" i="24"/>
  <c r="AN42" i="24"/>
  <c r="AH42" i="24"/>
  <c r="AB42" i="24"/>
  <c r="P42" i="24"/>
  <c r="AK42" i="24"/>
  <c r="AE42" i="24"/>
  <c r="Y42" i="24"/>
  <c r="V42" i="24"/>
  <c r="S42" i="24"/>
  <c r="M42" i="24"/>
  <c r="AP42" i="24"/>
  <c r="Y59" i="24"/>
  <c r="S59" i="24"/>
  <c r="AH59" i="24"/>
  <c r="AB59" i="24"/>
  <c r="M59" i="24"/>
  <c r="V59" i="24"/>
  <c r="AN59" i="24"/>
  <c r="AE59" i="24"/>
  <c r="P59" i="24"/>
  <c r="AK59" i="24"/>
  <c r="AR59" i="24"/>
  <c r="Y65" i="24"/>
  <c r="S65" i="24"/>
  <c r="AH65" i="24"/>
  <c r="AK65" i="24"/>
  <c r="AE65" i="24"/>
  <c r="M65" i="24"/>
  <c r="AB65" i="24"/>
  <c r="V65" i="24"/>
  <c r="P65" i="24"/>
  <c r="AN65" i="24"/>
  <c r="AR65" i="24"/>
  <c r="AK19" i="24"/>
  <c r="AE19" i="24"/>
  <c r="Y19" i="24"/>
  <c r="S19" i="24"/>
  <c r="AN19" i="24"/>
  <c r="AH19" i="24"/>
  <c r="AB19" i="24"/>
  <c r="P19" i="24"/>
  <c r="M19" i="24"/>
  <c r="V19" i="24"/>
  <c r="AR19" i="24"/>
  <c r="Y49" i="24"/>
  <c r="AN49" i="24"/>
  <c r="S49" i="24"/>
  <c r="AK49" i="24"/>
  <c r="AH49" i="24"/>
  <c r="M49" i="24"/>
  <c r="AB49" i="24"/>
  <c r="V49" i="24"/>
  <c r="AE49" i="24"/>
  <c r="P49" i="24"/>
  <c r="AR49" i="24"/>
  <c r="AE20" i="24"/>
  <c r="AN20" i="24"/>
  <c r="AH20" i="24"/>
  <c r="S20" i="24"/>
  <c r="V20" i="24"/>
  <c r="P20" i="24"/>
  <c r="M20" i="24"/>
  <c r="AB20" i="24"/>
  <c r="Y20" i="24"/>
  <c r="AK20" i="24"/>
  <c r="AR20" i="24"/>
  <c r="AB23" i="24"/>
  <c r="V23" i="24"/>
  <c r="Y23" i="24"/>
  <c r="AN23" i="24"/>
  <c r="S23" i="24"/>
  <c r="AE23" i="24"/>
  <c r="P23" i="24"/>
  <c r="AH23" i="24"/>
  <c r="M23" i="24"/>
  <c r="AR23" i="24"/>
  <c r="P44" i="24"/>
  <c r="AH44" i="24"/>
  <c r="AB44" i="24"/>
  <c r="AE44" i="24"/>
  <c r="Y44" i="24"/>
  <c r="AK44" i="24"/>
  <c r="M44" i="24"/>
  <c r="V44" i="24"/>
  <c r="AN44" i="24"/>
  <c r="S44" i="24"/>
  <c r="AR44" i="24"/>
  <c r="P46" i="24"/>
  <c r="AK46" i="24"/>
  <c r="AE46" i="24"/>
  <c r="S46" i="24"/>
  <c r="AN46" i="24"/>
  <c r="AH46" i="24"/>
  <c r="AB46" i="24"/>
  <c r="M46" i="24"/>
  <c r="Y46" i="24"/>
  <c r="V46" i="24"/>
  <c r="AR46" i="24"/>
  <c r="AK48" i="24"/>
  <c r="M48" i="24"/>
  <c r="AE48" i="24"/>
  <c r="Y48" i="24"/>
  <c r="AB48" i="24"/>
  <c r="S48" i="24"/>
  <c r="AN48" i="24"/>
  <c r="P48" i="24"/>
  <c r="AH48" i="24"/>
  <c r="V48" i="24"/>
  <c r="AR48" i="24"/>
  <c r="S50" i="24"/>
  <c r="M50" i="24"/>
  <c r="AN50" i="24"/>
  <c r="V50" i="24"/>
  <c r="P50" i="24"/>
  <c r="AK50" i="24"/>
  <c r="AE50" i="24"/>
  <c r="AH50" i="24"/>
  <c r="Y50" i="24"/>
  <c r="AB50" i="24"/>
  <c r="AR50" i="24"/>
  <c r="AN52" i="24"/>
  <c r="AH52" i="24"/>
  <c r="P52" i="24"/>
  <c r="AB52" i="24"/>
  <c r="AE52" i="24"/>
  <c r="S52" i="24"/>
  <c r="AK52" i="24"/>
  <c r="M52" i="24"/>
  <c r="V52" i="24"/>
  <c r="Y52" i="24"/>
  <c r="AR52" i="24"/>
  <c r="V54" i="24"/>
  <c r="P54" i="24"/>
  <c r="M54" i="24"/>
  <c r="Y54" i="24"/>
  <c r="S54" i="24"/>
  <c r="AN54" i="24"/>
  <c r="AE54" i="24"/>
  <c r="AK54" i="24"/>
  <c r="AB54" i="24"/>
  <c r="AH54" i="24"/>
  <c r="AR54" i="24"/>
  <c r="AK57" i="24"/>
  <c r="S57" i="24"/>
  <c r="V57" i="24"/>
  <c r="Y57" i="24"/>
  <c r="AE57" i="24"/>
  <c r="AN57" i="24"/>
  <c r="P57" i="24"/>
  <c r="AB57" i="24"/>
  <c r="M57" i="24"/>
  <c r="AH57" i="24"/>
  <c r="AR57" i="24"/>
  <c r="Q16" i="25"/>
  <c r="Q17" i="25" s="1"/>
  <c r="Q18" i="25" s="1"/>
  <c r="A18" i="24"/>
  <c r="A19" i="24" s="1"/>
  <c r="A20" i="24" s="1"/>
  <c r="A21" i="24" s="1"/>
  <c r="L83" i="24"/>
  <c r="O83" i="24"/>
  <c r="AT29" i="24"/>
  <c r="AU29" i="24" s="1"/>
  <c r="R83" i="24"/>
  <c r="AM83" i="24"/>
  <c r="K15" i="29" s="1"/>
  <c r="U83" i="24"/>
  <c r="X83" i="24"/>
  <c r="AA83" i="24"/>
  <c r="F83" i="24"/>
  <c r="E12" i="25"/>
  <c r="AO42" i="24"/>
  <c r="AQ42" i="24" s="1"/>
  <c r="AO43" i="24"/>
  <c r="AQ43" i="24" s="1"/>
  <c r="AT63" i="24"/>
  <c r="AU63" i="24" s="1"/>
  <c r="AT53" i="24"/>
  <c r="AU53" i="24" s="1"/>
  <c r="AT57" i="24"/>
  <c r="AU57" i="24" s="1"/>
  <c r="AT60" i="24"/>
  <c r="AU60" i="24" s="1"/>
  <c r="AT50" i="24"/>
  <c r="AU50" i="24" s="1"/>
  <c r="AT62" i="24"/>
  <c r="AU62" i="24" s="1"/>
  <c r="AT36" i="24"/>
  <c r="AU36" i="24" s="1"/>
  <c r="AT49" i="24"/>
  <c r="AU49" i="24" s="1"/>
  <c r="AT44" i="24"/>
  <c r="AU44" i="24" s="1"/>
  <c r="AT24" i="24"/>
  <c r="AU24" i="24" s="1"/>
  <c r="AT33" i="24"/>
  <c r="AU33" i="24" s="1"/>
  <c r="AT46" i="24"/>
  <c r="AU46" i="24" s="1"/>
  <c r="AT66" i="24"/>
  <c r="AU66" i="24" s="1"/>
  <c r="AT59" i="24"/>
  <c r="AU59" i="24" s="1"/>
  <c r="AT23" i="24"/>
  <c r="AU23" i="24" s="1"/>
  <c r="AT68" i="24"/>
  <c r="AU68" i="24" s="1"/>
  <c r="AT45" i="24"/>
  <c r="AU45" i="24" s="1"/>
  <c r="AT61" i="24"/>
  <c r="AU61" i="24" s="1"/>
  <c r="AT30" i="24"/>
  <c r="AU30" i="24" s="1"/>
  <c r="AT34" i="24"/>
  <c r="AU34" i="24" s="1"/>
  <c r="AT58" i="24"/>
  <c r="AU58" i="24" s="1"/>
  <c r="AT35" i="24"/>
  <c r="AU35" i="24" s="1"/>
  <c r="AT28" i="24"/>
  <c r="AU28" i="24" s="1"/>
  <c r="AT48" i="24"/>
  <c r="AU48" i="24" s="1"/>
  <c r="AT52" i="24"/>
  <c r="AU52" i="24" s="1"/>
  <c r="AT19" i="24"/>
  <c r="AU19" i="24" s="1"/>
  <c r="AT37" i="24"/>
  <c r="AU37" i="24" s="1"/>
  <c r="AT65" i="24"/>
  <c r="AU65" i="24" s="1"/>
  <c r="AT21" i="24"/>
  <c r="AT27" i="24"/>
  <c r="AU27" i="24" s="1"/>
  <c r="AT47" i="24"/>
  <c r="AU47" i="24" s="1"/>
  <c r="AT51" i="24"/>
  <c r="AU51" i="24" s="1"/>
  <c r="AT67" i="24"/>
  <c r="AU67" i="24" s="1"/>
  <c r="I83" i="24"/>
  <c r="AX43" i="24"/>
  <c r="AX42" i="24"/>
  <c r="K10" i="29" l="1"/>
  <c r="L10" i="29" s="1"/>
  <c r="M10" i="29" s="1"/>
  <c r="K8" i="29"/>
  <c r="L20" i="25" s="1"/>
  <c r="D17" i="29"/>
  <c r="K9" i="29"/>
  <c r="L9" i="29" s="1"/>
  <c r="M9" i="29" s="1"/>
  <c r="AR43" i="24"/>
  <c r="AR42" i="24"/>
  <c r="L15" i="29"/>
  <c r="M15" i="29" s="1"/>
  <c r="P15" i="29" s="1"/>
  <c r="O15" i="29"/>
  <c r="AG87" i="24"/>
  <c r="AJ87" i="24"/>
  <c r="AD87" i="24"/>
  <c r="Q19" i="25"/>
  <c r="Q20" i="25" s="1"/>
  <c r="Q21" i="25" s="1"/>
  <c r="Q22" i="25" s="1"/>
  <c r="Q23" i="25" s="1"/>
  <c r="D12" i="29"/>
  <c r="O12" i="29" s="1"/>
  <c r="D10" i="29"/>
  <c r="P12" i="29" s="1"/>
  <c r="AT42" i="24"/>
  <c r="AU42" i="24" s="1"/>
  <c r="K6" i="29"/>
  <c r="K11" i="29"/>
  <c r="K7" i="29"/>
  <c r="L85" i="24"/>
  <c r="L87" i="24"/>
  <c r="L89" i="24" s="1"/>
  <c r="R87" i="24"/>
  <c r="O87" i="24"/>
  <c r="AT25" i="24"/>
  <c r="AU25" i="24" s="1"/>
  <c r="U87" i="24"/>
  <c r="AA87" i="24"/>
  <c r="X87" i="24"/>
  <c r="AM87" i="24"/>
  <c r="E13" i="25"/>
  <c r="AT20" i="24"/>
  <c r="AU20" i="24" s="1"/>
  <c r="AP83" i="24"/>
  <c r="AT55" i="24"/>
  <c r="AU55" i="24" s="1"/>
  <c r="AT31" i="24"/>
  <c r="AU31" i="24" s="1"/>
  <c r="AT54" i="24"/>
  <c r="AU54" i="24" s="1"/>
  <c r="AT32" i="24"/>
  <c r="AU32" i="24" s="1"/>
  <c r="AT64" i="24"/>
  <c r="AU64" i="24" s="1"/>
  <c r="L27" i="25" l="1"/>
  <c r="N12" i="29"/>
  <c r="N6" i="29"/>
  <c r="N10" i="29"/>
  <c r="N11" i="29"/>
  <c r="N7" i="29"/>
  <c r="N8" i="29"/>
  <c r="N9" i="29"/>
  <c r="L24" i="25"/>
  <c r="K16" i="29"/>
  <c r="D21" i="29"/>
  <c r="E17" i="29"/>
  <c r="O8" i="29"/>
  <c r="L8" i="29"/>
  <c r="M8" i="29" s="1"/>
  <c r="I20" i="25" s="1"/>
  <c r="O9" i="29"/>
  <c r="I27" i="25"/>
  <c r="P10" i="29"/>
  <c r="D11" i="29"/>
  <c r="M5" i="29"/>
  <c r="O6" i="29"/>
  <c r="L6" i="29"/>
  <c r="I24" i="25"/>
  <c r="P9" i="29"/>
  <c r="L17" i="25"/>
  <c r="L7" i="29"/>
  <c r="M7" i="29" s="1"/>
  <c r="O7" i="29"/>
  <c r="L29" i="25"/>
  <c r="O11" i="29"/>
  <c r="L11" i="29"/>
  <c r="M11" i="29" s="1"/>
  <c r="O10" i="29"/>
  <c r="L15" i="25"/>
  <c r="M15" i="25" s="1"/>
  <c r="M16" i="25" s="1"/>
  <c r="O85" i="24"/>
  <c r="Q24" i="25"/>
  <c r="O89" i="24"/>
  <c r="R89" i="24" s="1"/>
  <c r="U89" i="24" s="1"/>
  <c r="X89" i="24" s="1"/>
  <c r="AA89" i="24" s="1"/>
  <c r="E14" i="25"/>
  <c r="AT83" i="24"/>
  <c r="E21" i="29" l="1"/>
  <c r="D22" i="29"/>
  <c r="M6" i="29"/>
  <c r="L16" i="29"/>
  <c r="O16" i="29"/>
  <c r="P8" i="29"/>
  <c r="R85" i="24"/>
  <c r="U85" i="24" s="1"/>
  <c r="X85" i="24" s="1"/>
  <c r="AA85" i="24" s="1"/>
  <c r="M17" i="25"/>
  <c r="M18" i="25" s="1"/>
  <c r="M19" i="25" s="1"/>
  <c r="M20" i="25" s="1"/>
  <c r="M21" i="25" s="1"/>
  <c r="M22" i="25" s="1"/>
  <c r="M23" i="25" s="1"/>
  <c r="M24" i="25" s="1"/>
  <c r="M25" i="25" s="1"/>
  <c r="I29" i="25"/>
  <c r="P11" i="29"/>
  <c r="I17" i="25"/>
  <c r="P7" i="29"/>
  <c r="P5" i="29"/>
  <c r="I10" i="25"/>
  <c r="J10" i="25" s="1"/>
  <c r="J11" i="25" s="1"/>
  <c r="J12" i="25" s="1"/>
  <c r="J13" i="25" s="1"/>
  <c r="J14" i="25" s="1"/>
  <c r="AM89" i="24"/>
  <c r="AD89" i="24"/>
  <c r="AG89" i="24" s="1"/>
  <c r="AJ89" i="24" s="1"/>
  <c r="Q25" i="25"/>
  <c r="D29" i="29"/>
  <c r="E29" i="29" s="1"/>
  <c r="E15" i="25"/>
  <c r="I15" i="25" l="1"/>
  <c r="J15" i="25" s="1"/>
  <c r="J16" i="25" s="1"/>
  <c r="J17" i="25" s="1"/>
  <c r="J18" i="25" s="1"/>
  <c r="J19" i="25" s="1"/>
  <c r="J20" i="25" s="1"/>
  <c r="J21" i="25" s="1"/>
  <c r="J22" i="25" s="1"/>
  <c r="J23" i="25" s="1"/>
  <c r="J24" i="25" s="1"/>
  <c r="J25" i="25" s="1"/>
  <c r="J26" i="25" s="1"/>
  <c r="M16" i="29"/>
  <c r="N16" i="29" s="1"/>
  <c r="D16" i="29"/>
  <c r="E16" i="29" s="1"/>
  <c r="P6" i="29"/>
  <c r="P16" i="29" s="1"/>
  <c r="AM85" i="24"/>
  <c r="AD85" i="24"/>
  <c r="AG85" i="24" s="1"/>
  <c r="AJ85" i="24" s="1"/>
  <c r="M26" i="25"/>
  <c r="Q26" i="25"/>
  <c r="D26" i="29"/>
  <c r="E16" i="25"/>
  <c r="D27" i="29" l="1"/>
  <c r="D28" i="29" s="1"/>
  <c r="D30" i="29" s="1"/>
  <c r="C35" i="29" s="1"/>
  <c r="D31" i="29"/>
  <c r="D18" i="29"/>
  <c r="M27" i="25"/>
  <c r="J27" i="25"/>
  <c r="Q27" i="25"/>
  <c r="D32" i="29"/>
  <c r="E17" i="25"/>
  <c r="E18" i="29" l="1"/>
  <c r="D33" i="29"/>
  <c r="E33" i="29" s="1"/>
  <c r="C34" i="29"/>
  <c r="M28" i="25"/>
  <c r="J28" i="25"/>
  <c r="Q28" i="25"/>
  <c r="E18" i="25"/>
  <c r="M29" i="25" l="1"/>
  <c r="J29" i="25"/>
  <c r="Q29" i="25"/>
  <c r="Q30" i="25" s="1"/>
  <c r="E19" i="25"/>
  <c r="J30" i="25" l="1"/>
  <c r="J31" i="25" s="1"/>
  <c r="M30" i="25"/>
  <c r="M31" i="25" s="1"/>
  <c r="Q31" i="25"/>
  <c r="E20" i="25"/>
  <c r="J32" i="25" l="1"/>
  <c r="M32" i="25"/>
  <c r="Q32" i="25"/>
  <c r="E21" i="25"/>
  <c r="M33" i="25" l="1"/>
  <c r="J33" i="25"/>
  <c r="Q33" i="25"/>
  <c r="E22" i="25"/>
  <c r="M34" i="25" l="1"/>
  <c r="J34" i="25"/>
  <c r="Q34" i="25"/>
  <c r="E23" i="25"/>
  <c r="E24" i="25" l="1"/>
  <c r="E25" i="25" l="1"/>
  <c r="E26" i="25" l="1"/>
  <c r="E27" i="25" l="1"/>
  <c r="N31" i="25" l="1"/>
  <c r="S31" i="25"/>
  <c r="E28" i="25"/>
  <c r="N32" i="25" l="1"/>
  <c r="S32" i="25"/>
  <c r="E29" i="25"/>
  <c r="N33" i="25" l="1"/>
  <c r="S33" i="25"/>
  <c r="E30" i="25"/>
  <c r="N34" i="25" l="1"/>
  <c r="S34" i="25"/>
  <c r="E31" i="25"/>
  <c r="K31" i="25" l="1"/>
  <c r="R31" i="25"/>
  <c r="E32" i="25"/>
  <c r="K32" i="25" l="1"/>
  <c r="R32" i="25"/>
  <c r="E33" i="25"/>
  <c r="K33" i="25" l="1"/>
  <c r="R33" i="25"/>
  <c r="E34" i="25"/>
  <c r="S30" i="25" l="1"/>
  <c r="N30" i="25"/>
  <c r="K30" i="25"/>
  <c r="R30" i="25"/>
  <c r="S28" i="25"/>
  <c r="N28" i="25"/>
  <c r="N29" i="25"/>
  <c r="S29" i="25"/>
  <c r="R28" i="25"/>
  <c r="K28" i="25"/>
  <c r="K29" i="25"/>
  <c r="R29" i="25"/>
  <c r="K34" i="25"/>
  <c r="R34" i="25"/>
  <c r="S10" i="25"/>
  <c r="N10" i="25"/>
  <c r="N11" i="25"/>
  <c r="S11" i="25"/>
  <c r="S12" i="25"/>
  <c r="N12" i="25"/>
  <c r="N13" i="25"/>
  <c r="S13" i="25"/>
  <c r="N14" i="25"/>
  <c r="S14" i="25"/>
  <c r="K10" i="25"/>
  <c r="R10" i="25"/>
  <c r="K11" i="25"/>
  <c r="R11" i="25"/>
  <c r="N15" i="25"/>
  <c r="S15" i="25"/>
  <c r="K12" i="25"/>
  <c r="R12" i="25"/>
  <c r="K13" i="25"/>
  <c r="N16" i="25"/>
  <c r="R13" i="25"/>
  <c r="S16" i="25"/>
  <c r="S17" i="25"/>
  <c r="N17" i="25"/>
  <c r="K14" i="25"/>
  <c r="N18" i="25"/>
  <c r="R14" i="25"/>
  <c r="S18" i="25"/>
  <c r="K15" i="25"/>
  <c r="R15" i="25"/>
  <c r="N19" i="25"/>
  <c r="S19" i="25"/>
  <c r="N20" i="25"/>
  <c r="S20" i="25"/>
  <c r="K16" i="25"/>
  <c r="R16" i="25"/>
  <c r="K17" i="25"/>
  <c r="R17" i="25"/>
  <c r="S21" i="25"/>
  <c r="N21" i="25"/>
  <c r="K18" i="25"/>
  <c r="R18" i="25"/>
  <c r="N22" i="25"/>
  <c r="S22" i="25"/>
  <c r="N23" i="25"/>
  <c r="S23" i="25"/>
  <c r="K19" i="25"/>
  <c r="R19" i="25"/>
  <c r="K20" i="25"/>
  <c r="R20" i="25"/>
  <c r="N24" i="25"/>
  <c r="S24" i="25"/>
  <c r="N25" i="25"/>
  <c r="K21" i="25"/>
  <c r="S25" i="25"/>
  <c r="R21" i="25"/>
  <c r="S26" i="25"/>
  <c r="K22" i="25"/>
  <c r="R22" i="25"/>
  <c r="N26" i="25"/>
  <c r="N27" i="25"/>
  <c r="S27" i="25"/>
  <c r="K23" i="25"/>
  <c r="R23" i="25"/>
  <c r="K24" i="25"/>
  <c r="R24" i="25"/>
  <c r="K25" i="25"/>
  <c r="R25" i="25"/>
  <c r="K26" i="25"/>
  <c r="R26" i="25"/>
  <c r="K27" i="25"/>
  <c r="R27" i="25"/>
  <c r="F34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E35" i="29"/>
  <c r="E34" i="29"/>
  <c r="N36" i="25" l="1"/>
  <c r="P83" i="35"/>
  <c r="K36" i="25" l="1"/>
  <c r="K23" i="41" l="1"/>
  <c r="K21" i="4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DINFRA-8</author>
    <author>Usuario</author>
  </authors>
  <commentList>
    <comment ref="D2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DINFRA-8:</t>
        </r>
        <r>
          <rPr>
            <sz val="9"/>
            <color indexed="81"/>
            <rFont val="Tahoma"/>
            <family val="2"/>
          </rPr>
          <t xml:space="preserve">
Valor cambiado con la cantidad</t>
        </r>
      </text>
    </comment>
    <comment ref="E2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DINFRA-8:</t>
        </r>
        <r>
          <rPr>
            <sz val="9"/>
            <color indexed="81"/>
            <rFont val="Tahoma"/>
            <family val="2"/>
          </rPr>
          <t xml:space="preserve">
Valor cambiado por el precio unitario</t>
        </r>
      </text>
    </comment>
    <comment ref="L25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Se observa que el monto difiere, pero en la planilla cobra 5334,00 Bs monto que sale del producto entre 0,4*13335,00. </t>
        </r>
      </text>
    </comment>
    <comment ref="D27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DINFRA-8:</t>
        </r>
        <r>
          <rPr>
            <sz val="9"/>
            <color indexed="81"/>
            <rFont val="Tahoma"/>
            <family val="2"/>
          </rPr>
          <t xml:space="preserve">
Valor cambiado con la cantidad</t>
        </r>
      </text>
    </comment>
    <comment ref="E27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DINFRA-8:</t>
        </r>
        <r>
          <rPr>
            <sz val="9"/>
            <color indexed="81"/>
            <rFont val="Tahoma"/>
            <family val="2"/>
          </rPr>
          <t xml:space="preserve">
Valor cambiado por el precio unitario</t>
        </r>
      </text>
    </comment>
    <comment ref="L27" authorId="1" shapeId="0" xr:uid="{00000000-0006-0000-0100-000006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Se observa que el monto difiere, pero en la planilla cobra 769,67 Bs monto que sale del producto entre 0,2*3848,37. 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<sst xmlns="http://schemas.openxmlformats.org/spreadsheetml/2006/main" count="2175" uniqueCount="279">
  <si>
    <t>DESCRIPCION</t>
  </si>
  <si>
    <t>CANTIDAD</t>
  </si>
  <si>
    <t>ITEM</t>
  </si>
  <si>
    <t>SEGÚN CONTRATO</t>
  </si>
  <si>
    <t>% INCRE. DECRE.</t>
  </si>
  <si>
    <t>PRECIO UNITARIO</t>
  </si>
  <si>
    <t>MONTO ORIGINAL</t>
  </si>
  <si>
    <t xml:space="preserve">UNID. </t>
  </si>
  <si>
    <t>Bs.</t>
  </si>
  <si>
    <t xml:space="preserve">                 SECRETARIA                                  :</t>
  </si>
  <si>
    <t>M3</t>
  </si>
  <si>
    <t>ORDEN DE PROCEDER:</t>
  </si>
  <si>
    <t>CERTIFICADO PARA EL PERIODO DE:</t>
  </si>
  <si>
    <t>TIEMPO TRANSCURRIDO:</t>
  </si>
  <si>
    <t>FECHA DE CONCLUCION S/CONTRATO:</t>
  </si>
  <si>
    <t xml:space="preserve">                        DIRECCIÓN                                  :</t>
  </si>
  <si>
    <t>TOTALES (Bs.)</t>
  </si>
  <si>
    <t>INSTALACION DE FAENAS</t>
  </si>
  <si>
    <t>GLB</t>
  </si>
  <si>
    <t>LIMPIEZA, DESBOSQUE Y DESTRONQUE (CHACO)</t>
  </si>
  <si>
    <t>HA.</t>
  </si>
  <si>
    <t>EXCAVACION NO CLASIFICADA</t>
  </si>
  <si>
    <t>RELLENO Y COMPACTADO CON MATERIAL DE CORTE</t>
  </si>
  <si>
    <t>EXCAV. EN ROCA C/MAQUINARIA Y EXPLOSIVOS</t>
  </si>
  <si>
    <t>PERFILADO Y COMPACTADO DE SUB RASANTE</t>
  </si>
  <si>
    <t>M2</t>
  </si>
  <si>
    <t>M01 - MOVIMIENTO DE TIERRAS</t>
  </si>
  <si>
    <t>M02 - PAVIMENTO (RIPIADO)</t>
  </si>
  <si>
    <t>SUMINISTRO Y TRANSPORTE DE AGREGADO P/RIPIO</t>
  </si>
  <si>
    <t>RIPIADO</t>
  </si>
  <si>
    <t>LIMPIEZA GENERAL RIPIADO</t>
  </si>
  <si>
    <t>M03 - DRENAJE - OBRAS DE ARTE - MUROS</t>
  </si>
  <si>
    <t>REPLANTEO (TOPOGRAFICO)</t>
  </si>
  <si>
    <t>EXCAVACION PARA ESTRUCTURAS</t>
  </si>
  <si>
    <t>HORMIGON CICLOPEO CON 60% PIEDRA DESPLAZADORA</t>
  </si>
  <si>
    <t>HORMIGON SIMPLE  TIPO A</t>
  </si>
  <si>
    <t>ACERO ESTRUCTURAL</t>
  </si>
  <si>
    <t>RELLENO DE TIERRA CERNIDA</t>
  </si>
  <si>
    <t>RELLENO Y COMPACTACION  CON MATERIAL COMUN</t>
  </si>
  <si>
    <t>EMPEDRADO PARA BADEN</t>
  </si>
  <si>
    <t>ZAMPEADO DE PIEDRA CON EMBOQUILLADO</t>
  </si>
  <si>
    <t>GAVIONES</t>
  </si>
  <si>
    <t>MAMPOSTERIA DE PIEDRA (CUNETAS REVESTIDAS)</t>
  </si>
  <si>
    <t>PROV. Y COLOC. DE TUBO ARMCO D=1000 mm</t>
  </si>
  <si>
    <t>HORMIGON SIMPLE TIPO "E"</t>
  </si>
  <si>
    <t>CONSTRUCCION  ZANJAS DE CORONAMIENTO</t>
  </si>
  <si>
    <t>KG</t>
  </si>
  <si>
    <t>ML</t>
  </si>
  <si>
    <t>M04 - PUENTE PRESFORZADO L=35 M PROG.15+220</t>
  </si>
  <si>
    <t>EXCAVACIONES PARA ESTRUCTURAS</t>
  </si>
  <si>
    <t>VIGA PRETENSADA FCK=350 KG/CM2</t>
  </si>
  <si>
    <t>APARATO DE APOYO DE NEOPRENO</t>
  </si>
  <si>
    <t>LANZAMIENTO DE VIGA U OBRA FALSA</t>
  </si>
  <si>
    <t>JUNTAS DE DILATACION METALICAS</t>
  </si>
  <si>
    <t>TUBO PVC DE DRENAJE D=4"</t>
  </si>
  <si>
    <t>TRANSPORTE DE AGREGADOS P/VIGA DMT = 60 KM</t>
  </si>
  <si>
    <t>COLCHONETA RENO</t>
  </si>
  <si>
    <t>LIMPIEZA GENERAL</t>
  </si>
  <si>
    <t>DM3</t>
  </si>
  <si>
    <t>M05 - PUENTE PRESFORZADO L=20 M PROG.25+475</t>
  </si>
  <si>
    <t>HORMIGON CICLOPEO</t>
  </si>
  <si>
    <t>M06 - RUBRO SEÑALIZACION Y SEGURIDAD VIAL</t>
  </si>
  <si>
    <t>SEÑALIZACION VERTICAL RESTRICTIVA</t>
  </si>
  <si>
    <t>SEÑALIZACION VERTICAL PREVENTIVA</t>
  </si>
  <si>
    <t>SEÑALIZACION VERTICAL INFORMATIVA</t>
  </si>
  <si>
    <t>MOJON POR KILOMETRO</t>
  </si>
  <si>
    <t>POSTES DE SEÑALIZACION</t>
  </si>
  <si>
    <t>PZA</t>
  </si>
  <si>
    <t>M07 - MEDIDAS DE MITIGACION AMBIENTAL</t>
  </si>
  <si>
    <t>HUMECTACION DEL MATERIAL</t>
  </si>
  <si>
    <t>TRANSPORTE DE RESIDUOS A BUZON</t>
  </si>
  <si>
    <t>DISPOSICION DE DESHECHOS SOLIDOS DOMESTICOS</t>
  </si>
  <si>
    <t>RESTITUCION DE LAS CONDICIONES INICIALES (1000 M2)</t>
  </si>
  <si>
    <t>REVEGETACION DE AREAS AFECTADAS (1000 M2)</t>
  </si>
  <si>
    <t>PROVISION DE  EXTIGUINDORES</t>
  </si>
  <si>
    <t>KM.</t>
  </si>
  <si>
    <t>PROYECTO:  MEJORAMIENTO CAMINO ROSARIO DEL INGRE - MACHICOCA - IVOCA (FASE I)</t>
  </si>
  <si>
    <t>DIRECCIÓN DE  INFRAESTRUCTURA</t>
  </si>
  <si>
    <t>SECRETARIA  DE OBRAS PUBLICAS Y SERVICIOS</t>
  </si>
  <si>
    <t>FECHA DE CONCLUSION S/ O.C. Nº 1:</t>
  </si>
  <si>
    <t>SEGUN ORDEN DE TRABAJO N° 1</t>
  </si>
  <si>
    <t>CANTIDAD  S/OdT. N° 1</t>
  </si>
  <si>
    <t>CANTIDAD AUTORIZADA S/O T N° 1 (Bs.)</t>
  </si>
  <si>
    <t/>
  </si>
  <si>
    <t>AVANCE ACTUAL ACUMULADO</t>
  </si>
  <si>
    <t>12/06/21 a 7/08/21</t>
  </si>
  <si>
    <t>656 Dias Calendario</t>
  </si>
  <si>
    <t>211 Dias Calendario</t>
  </si>
  <si>
    <t>SUSPENSION DE TRABAJOS S/O.C. Nº 1</t>
  </si>
  <si>
    <t>MONTO AUTORIZADO S/O T N° 1 (Bs.)</t>
  </si>
  <si>
    <t>MONTO (Bs)</t>
  </si>
  <si>
    <t>COMPARACION DE AVANCE PORCENTUAL</t>
  </si>
  <si>
    <t>FECHA DE AUTORIZACION DE LA O.C. Nº 1:</t>
  </si>
  <si>
    <t>ANÁLISIS COMPARATIVO DE PLANILLAS DE AVANCE DE OBRA</t>
  </si>
  <si>
    <t>EMPRESA CONSTRUCTORA CHUQUISACA</t>
  </si>
  <si>
    <t>RETRASO FÍSICO</t>
  </si>
  <si>
    <t>RETRASO FINANCIERO</t>
  </si>
  <si>
    <t>Vigesimo Quinto Desembolso</t>
  </si>
  <si>
    <t>Vigesimo Cuarto Desembolso</t>
  </si>
  <si>
    <t>Vigesimo Tercer Desembolso</t>
  </si>
  <si>
    <t>Vigesimo Segundo Desembolso</t>
  </si>
  <si>
    <t>Vigesimo Primer Desembolso</t>
  </si>
  <si>
    <t>Vigesimo Desembolso</t>
  </si>
  <si>
    <t>Decimo Noveno Desembolso</t>
  </si>
  <si>
    <t>Decimo Octavo Desembolso</t>
  </si>
  <si>
    <t>Decimo Septimo Desembolso</t>
  </si>
  <si>
    <t>Decimo Sexto Desembolso</t>
  </si>
  <si>
    <t>Decimo Quinto Desembolso</t>
  </si>
  <si>
    <t>Decimo Cuarto Desembolso</t>
  </si>
  <si>
    <t>Decimo Tercero Desembolso</t>
  </si>
  <si>
    <t>Decimo Segundo Desembolso</t>
  </si>
  <si>
    <t>Decimo Primero Desembolso</t>
  </si>
  <si>
    <t>Decimo Desembolso</t>
  </si>
  <si>
    <t>SUSPENSION</t>
  </si>
  <si>
    <t>Noveno Desembolso</t>
  </si>
  <si>
    <t>Octavo Desembolso</t>
  </si>
  <si>
    <t>Septimo Desembolso</t>
  </si>
  <si>
    <t>Sexto Desembolso</t>
  </si>
  <si>
    <t>Quinto  Desembolso</t>
  </si>
  <si>
    <t>Cuarto Desembolso</t>
  </si>
  <si>
    <t>Tercer Desembolso</t>
  </si>
  <si>
    <t>Segundo Desembolso</t>
  </si>
  <si>
    <t>ANTICIPO</t>
  </si>
  <si>
    <t>Primer Desembolso</t>
  </si>
  <si>
    <t>%</t>
  </si>
  <si>
    <t>ACUMULADO</t>
  </si>
  <si>
    <t>PLANILLADO</t>
  </si>
  <si>
    <t>Nº</t>
  </si>
  <si>
    <t>A PLANILLAR</t>
  </si>
  <si>
    <t xml:space="preserve">EJECUCION FISICA </t>
  </si>
  <si>
    <t>EJECUCION FINANCIERA</t>
  </si>
  <si>
    <t>FECHA</t>
  </si>
  <si>
    <t xml:space="preserve">PLANILLA </t>
  </si>
  <si>
    <t>PROGRAMADO</t>
  </si>
  <si>
    <t>MES / PERIODO</t>
  </si>
  <si>
    <t>N°</t>
  </si>
  <si>
    <t>CURVA DE AVANCE  FISICO - FINANCIERO</t>
  </si>
  <si>
    <t>DIRECCION DE INFRAESTRUCTURA</t>
  </si>
  <si>
    <t xml:space="preserve">SECRETARIA DEPARTAMENTAL DE OBRAS PUBLICAS Y SERVICIOS </t>
  </si>
  <si>
    <t>GOBIERNO AUTONOMO DEPARTAMENTAL DE CHUQUISACA</t>
  </si>
  <si>
    <t>005/2019</t>
  </si>
  <si>
    <t>ECCORT</t>
  </si>
  <si>
    <t>MONTO CONTRATO</t>
  </si>
  <si>
    <t xml:space="preserve">ANTICIPO 13,7747448% DEL MONTO DE CONTRATO </t>
  </si>
  <si>
    <t>ORDEN DE TRABAJO Nº 1</t>
  </si>
  <si>
    <t xml:space="preserve">ORDEN DE CAMBIO Nº 1 </t>
  </si>
  <si>
    <t>ING. MANUEL TANUZ GONZALES</t>
  </si>
  <si>
    <t>IMPORTE Bs.</t>
  </si>
  <si>
    <t>DIRECCIÓN                                     :</t>
  </si>
  <si>
    <t>SECRETARÍA                                 :</t>
  </si>
  <si>
    <t>PORCENTAJE DE CANTIDAD</t>
  </si>
  <si>
    <t>AVANCE PORCENTUAL</t>
  </si>
  <si>
    <t>MONTO FALTANTE (BS)</t>
  </si>
  <si>
    <t>PORCENTAJE FALTANTE</t>
  </si>
  <si>
    <t>DESEMBOLSOS EFECTUADOS (BS)</t>
  </si>
  <si>
    <t>AMORTIZACIÒN DE ANTICIPO (BS)</t>
  </si>
  <si>
    <t>LÍQUIDO PAGADO (BS)</t>
  </si>
  <si>
    <t>Anticipo</t>
  </si>
  <si>
    <t>TOTAL</t>
  </si>
  <si>
    <t>MONTO DE CONTRATO (BS)</t>
  </si>
  <si>
    <t>Saldo por pagar en PAO's</t>
  </si>
  <si>
    <t>AVANCE ACUMULADO</t>
  </si>
  <si>
    <t>AVANCE FÍSICO [%]</t>
  </si>
  <si>
    <t>AVANCE FINANCIERO [%]</t>
  </si>
  <si>
    <t>PLANILLA AVANCE Nº</t>
  </si>
  <si>
    <t>TOTALES</t>
  </si>
  <si>
    <t>DEDUCCION POR RESTITUCION ANTICIPO ACUMULADO HASTA LA FECHA</t>
  </si>
  <si>
    <t>SALDO POR RESTITUCION ANTICIPO ACUMULADO HASTA LA FECHA</t>
  </si>
  <si>
    <t>SALDO EFECTIVO POR PAGAR (Bs.)</t>
  </si>
  <si>
    <t>AVANCE PARCIAL</t>
  </si>
  <si>
    <t>DEDUCCION POR RESTITUCION ANTICIPO ACUMULADO HASTA EL ANTERIOR PERIODO</t>
  </si>
  <si>
    <t>DEDUCCION POR MULTAS ACUMULADAS HASTA EL ANTERIOR  PERIODO</t>
  </si>
  <si>
    <t>DEDUCCION POR MULTAS CONTRA ACTUALES EN EL PRESENTE PERIODO</t>
  </si>
  <si>
    <t>DEDUCCION POR MULTAS ACUMULADAS HASTA LA FECHA</t>
  </si>
  <si>
    <t>TOTAL DEDUCCIONES</t>
  </si>
  <si>
    <t>IMPORTE DE TRABAJO EJECUTADO Y ACUMULADO HASTA LA PLANILLA ANTERIOR</t>
  </si>
  <si>
    <t>IMPORTE DEL TRABAJO EJECUTADO EN EL PRESENTE PERIODO</t>
  </si>
  <si>
    <t>IMPORTE DEL TRABAJO EJECUTADO Y ACUMULADO HASTA LA FECHA</t>
  </si>
  <si>
    <t>LIQUIDO PAGADO ACUMULADO HASTA EL ANTERIOR PERIODO</t>
  </si>
  <si>
    <t>LIQUIDO PAGADO ACUMULADO HASTA LA FECHA</t>
  </si>
  <si>
    <t>TOTAL LIQUIDO PAGADO ACUMULADO HASTA LA FECHA</t>
  </si>
  <si>
    <t>MONTO ACUMULADO DE CAOS A LA FECHA</t>
  </si>
  <si>
    <t>PLANILLA DE ANÁLISIS</t>
  </si>
  <si>
    <t>IMPORTE PARCIAL</t>
  </si>
  <si>
    <t>IMPORTE ACUMULADO</t>
  </si>
  <si>
    <t>PERIODO</t>
  </si>
  <si>
    <t>DESEMBOLSO EFECTUADO
(Bs)</t>
  </si>
  <si>
    <t>LIQUIDO PAGADO 
(Bs)</t>
  </si>
  <si>
    <t>US$</t>
  </si>
  <si>
    <t>MONTOS</t>
  </si>
  <si>
    <t>A LA FECHA</t>
  </si>
  <si>
    <t>DEL PERIODO</t>
  </si>
  <si>
    <t>MONTO AUTORIZADA S/O T N° 1 (Bs.)</t>
  </si>
  <si>
    <t>% FISICO DE AVANCE 
POR ITEMS</t>
  </si>
  <si>
    <t>AVANCE PRESENTE PERIODO</t>
  </si>
  <si>
    <t xml:space="preserve">AVANCE  ANTERIOR </t>
  </si>
  <si>
    <t>FECHA DE CONCLUSION S/ C.M. Nº 1:</t>
  </si>
  <si>
    <t>PLANILLA  D E   AVANCE DE OBRA  Nº  6</t>
  </si>
  <si>
    <t>PLANILLA  D E   AVANCE DE OBRA  Nº  1</t>
  </si>
  <si>
    <t>PLANILLA  D E   AVANCE DE OBRA  Nº  2</t>
  </si>
  <si>
    <t>PLANILLA  D E   AVANCE DE OBRA  Nº  3</t>
  </si>
  <si>
    <t>PLANILLA  D E   AVANCE DE OBRA  Nº  4</t>
  </si>
  <si>
    <t>PLANILLA  D E   AVANCE DE OBRA  Nº  5</t>
  </si>
  <si>
    <t>LIQUIDO PAGABLE PLANILLA ACTUAL</t>
  </si>
  <si>
    <t>MONTOS DECLARADOS EN LOS INFORMES Y LAS PLANILLAS ANTERIORES</t>
  </si>
  <si>
    <t>21-OCT-19 AL 31-ENE-20</t>
  </si>
  <si>
    <t>01-FEB-20 AL 20-MAR-20</t>
  </si>
  <si>
    <t>21-MAR-20 AL 30-NOV-20</t>
  </si>
  <si>
    <t>01-DIC-20 AL 31-MAR-21</t>
  </si>
  <si>
    <t>01-ABR-21 AL 11-JUN-21</t>
  </si>
  <si>
    <t>12-JUN-21 AL 07-AGO-21</t>
  </si>
  <si>
    <t>SEP-2019</t>
  </si>
  <si>
    <t>OCT-19</t>
  </si>
  <si>
    <t>NOV-19</t>
  </si>
  <si>
    <t>DIC-19</t>
  </si>
  <si>
    <t>ENE-20</t>
  </si>
  <si>
    <t>FEB-20</t>
  </si>
  <si>
    <t>MAR-20</t>
  </si>
  <si>
    <t>OCT-20</t>
  </si>
  <si>
    <t>NOV-20</t>
  </si>
  <si>
    <t>DIC-20</t>
  </si>
  <si>
    <t>ENE-21</t>
  </si>
  <si>
    <t>FEB-21</t>
  </si>
  <si>
    <t>MAR-21</t>
  </si>
  <si>
    <t>ABR-21</t>
  </si>
  <si>
    <t>MAY-21</t>
  </si>
  <si>
    <t>JUN-21</t>
  </si>
  <si>
    <t>JUL-21</t>
  </si>
  <si>
    <t>AGO-21</t>
  </si>
  <si>
    <t>SEP-21</t>
  </si>
  <si>
    <t>OCT-21</t>
  </si>
  <si>
    <t>NOV-21</t>
  </si>
  <si>
    <t>DIC-21</t>
  </si>
  <si>
    <t>ENE-22</t>
  </si>
  <si>
    <t>INTERÉS ESTABLECIDO SEGÚN CONTRATO</t>
  </si>
  <si>
    <t xml:space="preserve">DEDUCCION POR RESTITUCION ANTICIPO EN EL PRESENTE PERIODO </t>
  </si>
  <si>
    <t>PLANILLA  D E   AVANCE DE OBRA  Nº  7</t>
  </si>
  <si>
    <t>PLANILLA  D E   AVANCE DE OBRA  Nº  8</t>
  </si>
  <si>
    <t>PLANILLA  D E   AVANCE DE OBRA  Nº  9</t>
  </si>
  <si>
    <t>PLANILLA  D E   AVANCE DE OBRA  Nº  10</t>
  </si>
  <si>
    <t>PLANILLA</t>
  </si>
  <si>
    <t>PORCENTAJE DE AVANCE FISICO TOTAL:</t>
  </si>
  <si>
    <t>PORCENTAJE DE AVANCE FINANCIERO  TOTAL:</t>
  </si>
  <si>
    <t>CAO N° 1</t>
  </si>
  <si>
    <t>CAO N° 2</t>
  </si>
  <si>
    <t>CAO N° 3</t>
  </si>
  <si>
    <t>CAO N° 4</t>
  </si>
  <si>
    <t>CAO N° 5</t>
  </si>
  <si>
    <t>CAO N° 6</t>
  </si>
  <si>
    <t>CAO N° 7</t>
  </si>
  <si>
    <t>CAO N° 8</t>
  </si>
  <si>
    <t>CAO N° 9</t>
  </si>
  <si>
    <t>CAO N° 10</t>
  </si>
  <si>
    <t>REPORTE FINANCIERO</t>
  </si>
  <si>
    <t>SECRETARIA  DE OBRAS PÚBLICAS Y SERVICIOS</t>
  </si>
  <si>
    <t>CONTRATO  Nº :</t>
  </si>
  <si>
    <t>SUPERVISIÓN:</t>
  </si>
  <si>
    <t>FISCALIZACION:</t>
  </si>
  <si>
    <t>EMPRESA CONTRATISTA:</t>
  </si>
  <si>
    <t>TIEMPO TRANSCURRIDO INICIO PROY.:</t>
  </si>
  <si>
    <t>SUSPENSIÓN DE TRABAJOS S/O.C. Nº 1:</t>
  </si>
  <si>
    <t>FECHA DE CONCLUSIÓN S/O.C. Nº 1:</t>
  </si>
  <si>
    <t>PLANILLA ACUMULADA TOTAL</t>
  </si>
  <si>
    <t>SALDO POR PAGAR</t>
  </si>
  <si>
    <t>PLANILLA ACUMULADA ANTERIOR</t>
  </si>
  <si>
    <t>DESCUENTO ANTICIPO 
(Bs)</t>
  </si>
  <si>
    <t>SALDO POR EJECUTAR 
(Bs)</t>
  </si>
  <si>
    <t xml:space="preserve">PORCENTAJE DE AVANCE FÍSICO </t>
  </si>
  <si>
    <t xml:space="preserve">PORCENTAJE DE AVANCE FINANCIERO </t>
  </si>
  <si>
    <t>13.7747448%</t>
  </si>
  <si>
    <t>8-AGO-21 AL 30-SEP-21</t>
  </si>
  <si>
    <t>NO BORRAR</t>
  </si>
  <si>
    <t>ANÁLISIS COMPARATIVO DE CAOS</t>
  </si>
  <si>
    <t xml:space="preserve">ANTICIPO </t>
  </si>
  <si>
    <t>AVANCE FÍSICO</t>
  </si>
  <si>
    <t>AVANCE FINANCIERO</t>
  </si>
  <si>
    <t>DESPLAZAMIENTO DINAMICO</t>
  </si>
  <si>
    <t>OPCIONES ADICIONALES</t>
  </si>
  <si>
    <t>TABLERO DE 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</si>
</sst>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_-* #,##0.00\ _€_-;\-* #,##0.00\ _€_-;_-* &quot;-&quot;??\ _€_-;_-@_-"/>
    <numFmt numFmtId="165" formatCode="_(* #,##0.00_);_(* \(#,##0.00\);_(* &quot;-&quot;??_);_(@_)"/>
    <numFmt numFmtId="166" formatCode="_ * #,##0.00_ ;_ * \-#,##0.00_ ;_ * &quot;-&quot;??_ ;_ @_ "/>
    <numFmt numFmtId="167" formatCode="[$-80A]d&quot; de &quot;mmmm&quot; de &quot;yyyy;@"/>
    <numFmt numFmtId="168" formatCode="#,##0.000"/>
    <numFmt numFmtId="169" formatCode="0.000"/>
    <numFmt numFmtId="170" formatCode="#,##0.00\ &quot;Dias&quot;"/>
    <numFmt numFmtId="171" formatCode="#,##0.0000"/>
    <numFmt numFmtId="172" formatCode="dd/mm/yyyy;@"/>
    <numFmt numFmtId="173" formatCode="[$-400A]d&quot; de &quot;mmmm&quot; de &quot;yyyy;@"/>
    <numFmt numFmtId="174" formatCode="0.0000000"/>
    <numFmt numFmtId="175" formatCode="#,##0.00000"/>
    <numFmt numFmtId="176" formatCode="#,##0.0000000"/>
  </numFmts>
  <fonts count="8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0"/>
      <color indexed="10"/>
      <name val="Arial"/>
      <family val="2"/>
    </font>
    <font>
      <b/>
      <sz val="7.5"/>
      <name val="Arial"/>
      <family val="2"/>
    </font>
    <font>
      <b/>
      <sz val="13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7"/>
      <name val="Arial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sz val="11"/>
      <color theme="0"/>
      <name val="Arial"/>
      <family val="2"/>
    </font>
    <font>
      <sz val="10"/>
      <color theme="0"/>
      <name val="Arial"/>
      <family val="2"/>
    </font>
    <font>
      <sz val="11"/>
      <color theme="0"/>
      <name val="Calibri"/>
      <family val="2"/>
      <scheme val="minor"/>
    </font>
    <font>
      <sz val="10"/>
      <color rgb="FFFF0000"/>
      <name val="Arial"/>
      <family val="2"/>
    </font>
    <font>
      <b/>
      <sz val="11"/>
      <color theme="0"/>
      <name val="Arial"/>
      <family val="2"/>
    </font>
    <font>
      <b/>
      <sz val="11"/>
      <name val="Arial Black"/>
      <family val="2"/>
    </font>
    <font>
      <b/>
      <sz val="20"/>
      <name val="Arial Black"/>
      <family val="2"/>
    </font>
    <font>
      <sz val="11"/>
      <color rgb="FF006100"/>
      <name val="Calibri"/>
      <family val="2"/>
      <scheme val="minor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0006"/>
      <name val="Calibri"/>
      <family val="2"/>
      <scheme val="minor"/>
    </font>
    <font>
      <sz val="8"/>
      <color theme="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20"/>
      <color theme="0"/>
      <name val="Arial Black"/>
      <family val="2"/>
    </font>
    <font>
      <sz val="8"/>
      <color theme="1" tint="0.249977111117893"/>
      <name val="Arial"/>
      <family val="2"/>
    </font>
    <font>
      <sz val="8"/>
      <color theme="1" tint="0.249977111117893"/>
      <name val="Arial Black"/>
      <family val="2"/>
    </font>
    <font>
      <b/>
      <sz val="18"/>
      <color theme="4" tint="-0.499984740745262"/>
      <name val="Arial Black"/>
      <family val="2"/>
    </font>
    <font>
      <b/>
      <sz val="12"/>
      <color theme="4" tint="-0.499984740745262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rgb="FF00B050"/>
      <name val="Arial"/>
      <family val="2"/>
    </font>
    <font>
      <b/>
      <sz val="12"/>
      <color theme="0"/>
      <name val="Arial Narrow"/>
      <family val="2"/>
    </font>
    <font>
      <b/>
      <sz val="11"/>
      <color rgb="FF006100"/>
      <name val="Arial Narrow"/>
      <family val="2"/>
    </font>
    <font>
      <b/>
      <sz val="12"/>
      <color theme="4"/>
      <name val="Arial Narrow"/>
      <family val="2"/>
    </font>
    <font>
      <b/>
      <sz val="8"/>
      <color theme="0"/>
      <name val="Arial"/>
      <family val="2"/>
    </font>
    <font>
      <sz val="10"/>
      <color rgb="FF00B050"/>
      <name val="Arial"/>
      <family val="2"/>
    </font>
    <font>
      <b/>
      <sz val="9"/>
      <color rgb="FF9C0006"/>
      <name val="Arial"/>
      <family val="2"/>
    </font>
    <font>
      <sz val="12"/>
      <color theme="0"/>
      <name val="Arial"/>
      <family val="2"/>
    </font>
    <font>
      <b/>
      <sz val="14"/>
      <color theme="0"/>
      <name val="Arial"/>
      <family val="2"/>
    </font>
    <font>
      <b/>
      <sz val="11"/>
      <color rgb="FF006100"/>
      <name val="Zurich Ex BT"/>
      <family val="2"/>
    </font>
    <font>
      <b/>
      <sz val="11"/>
      <color theme="1" tint="0.249977111117893"/>
      <name val="Arial"/>
      <family val="2"/>
    </font>
    <font>
      <b/>
      <sz val="14"/>
      <color theme="0"/>
      <name val="Arial Black"/>
      <family val="2"/>
    </font>
    <font>
      <b/>
      <sz val="11"/>
      <color theme="0"/>
      <name val="Zurich Ex BT"/>
      <family val="2"/>
    </font>
    <font>
      <b/>
      <sz val="11"/>
      <color theme="0"/>
      <name val="Arial Narrow"/>
      <family val="2"/>
    </font>
    <font>
      <b/>
      <sz val="16"/>
      <color theme="3"/>
      <name val="Arial Black"/>
      <family val="2"/>
    </font>
    <font>
      <b/>
      <sz val="12"/>
      <color theme="3"/>
      <name val="Arial"/>
      <family val="2"/>
    </font>
    <font>
      <b/>
      <sz val="1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 tint="0.249977111117893"/>
      <name val="Arial"/>
      <family val="2"/>
    </font>
    <font>
      <sz val="10"/>
      <color theme="1" tint="0.249977111117893"/>
      <name val="Arial"/>
      <family val="2"/>
    </font>
    <font>
      <sz val="11"/>
      <color theme="1" tint="0.249977111117893"/>
      <name val="Arial"/>
      <family val="2"/>
    </font>
    <font>
      <sz val="12"/>
      <color theme="3"/>
      <name val="Arial"/>
      <family val="2"/>
    </font>
    <font>
      <b/>
      <sz val="10"/>
      <color theme="1" tint="0.249977111117893"/>
      <name val="Arial"/>
      <family val="2"/>
    </font>
    <font>
      <b/>
      <sz val="12"/>
      <color theme="1" tint="0.249977111117893"/>
      <name val="Arial"/>
      <family val="2"/>
    </font>
    <font>
      <sz val="12"/>
      <name val="Arial"/>
      <family val="2"/>
    </font>
    <font>
      <b/>
      <sz val="18"/>
      <color theme="4"/>
      <name val="Arial Black"/>
      <family val="2"/>
    </font>
    <font>
      <b/>
      <sz val="11"/>
      <color theme="4"/>
      <name val="Arial"/>
      <family val="2"/>
    </font>
    <font>
      <sz val="9"/>
      <color theme="4" tint="-0.249977111117893"/>
      <name val="Arial"/>
      <family val="2"/>
    </font>
    <font>
      <b/>
      <sz val="9"/>
      <color theme="4" tint="-0.249977111117893"/>
      <name val="Arial"/>
      <family val="2"/>
    </font>
    <font>
      <sz val="10"/>
      <color theme="4" tint="-0.249977111117893"/>
      <name val="Arial"/>
      <family val="2"/>
    </font>
    <font>
      <b/>
      <sz val="12"/>
      <color theme="4" tint="-0.249977111117893"/>
      <name val="Arial Narrow"/>
      <family val="2"/>
    </font>
    <font>
      <sz val="12"/>
      <color theme="4" tint="-0.249977111117893"/>
      <name val="Arial Narrow"/>
      <family val="2"/>
    </font>
    <font>
      <sz val="12"/>
      <color theme="4" tint="-0.249977111117893"/>
      <name val="Zurich Ex BT"/>
      <family val="2"/>
    </font>
    <font>
      <b/>
      <sz val="12"/>
      <color theme="4" tint="-0.249977111117893"/>
      <name val="Arial"/>
      <family val="2"/>
    </font>
    <font>
      <sz val="10"/>
      <color theme="4" tint="-0.249977111117893"/>
      <name val="Arial Narrow"/>
      <family val="2"/>
    </font>
    <font>
      <sz val="8"/>
      <name val="Arial"/>
      <family val="2"/>
    </font>
    <font>
      <sz val="10"/>
      <name val="Arial Black"/>
      <family val="2"/>
    </font>
    <font>
      <b/>
      <sz val="18"/>
      <color theme="7" tint="-0.249977111117893"/>
      <name val="Arial Black"/>
      <family val="2"/>
    </font>
    <font>
      <sz val="10"/>
      <color rgb="FF000000"/>
      <name val="Arial Black"/>
      <family val="2"/>
    </font>
    <font>
      <b/>
      <sz val="12"/>
      <color theme="7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 style="thin">
        <color rgb="FF00B050"/>
      </right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4"/>
      </right>
      <top/>
      <bottom/>
      <diagonal/>
    </border>
  </borders>
  <cellStyleXfs count="14">
    <xf numFmtId="0" fontId="0" fillId="0" borderId="0"/>
    <xf numFmtId="164" fontId="13" fillId="0" borderId="0" applyFont="0" applyFill="0" applyBorder="0" applyAlignment="0" applyProtection="0"/>
    <xf numFmtId="0" fontId="2" fillId="0" borderId="0"/>
    <xf numFmtId="9" fontId="11" fillId="0" borderId="0" applyFont="0" applyFill="0" applyBorder="0" applyAlignment="0" applyProtection="0"/>
    <xf numFmtId="0" fontId="20" fillId="2" borderId="0" applyNumberFormat="0" applyBorder="0" applyAlignment="0" applyProtection="0"/>
    <xf numFmtId="0" fontId="25" fillId="3" borderId="0" applyNumberFormat="0" applyBorder="0" applyAlignment="0" applyProtection="0"/>
    <xf numFmtId="0" fontId="29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166" fontId="2" fillId="0" borderId="0" applyFont="0" applyFill="0" applyBorder="0" applyAlignment="0" applyProtection="0"/>
    <xf numFmtId="0" fontId="20" fillId="12" borderId="0" applyNumberFormat="0" applyBorder="0" applyAlignment="0" applyProtection="0"/>
    <xf numFmtId="9" fontId="2" fillId="0" borderId="0" applyFont="0" applyFill="0" applyBorder="0" applyAlignment="0" applyProtection="0"/>
  </cellStyleXfs>
  <cellXfs count="810">
    <xf numFmtId="0" fontId="0" fillId="0" borderId="0" xfId="0"/>
    <xf numFmtId="0" fontId="8" fillId="0" borderId="0" xfId="0" applyFont="1" applyFill="1" applyAlignment="1">
      <alignment vertical="center"/>
    </xf>
    <xf numFmtId="0" fontId="10" fillId="0" borderId="0" xfId="0" applyFont="1" applyFill="1" applyAlignment="1">
      <alignment vertical="center"/>
    </xf>
    <xf numFmtId="0" fontId="2" fillId="0" borderId="1" xfId="0" applyFont="1" applyFill="1" applyBorder="1" applyAlignment="1">
      <alignment vertical="center"/>
    </xf>
    <xf numFmtId="0" fontId="18" fillId="0" borderId="2" xfId="0" applyFont="1" applyFill="1" applyBorder="1" applyAlignment="1">
      <alignment vertical="center"/>
    </xf>
    <xf numFmtId="0" fontId="8" fillId="0" borderId="0" xfId="0" applyFont="1" applyFill="1" applyAlignment="1">
      <alignment horizontal="right" vertical="center"/>
    </xf>
    <xf numFmtId="0" fontId="10" fillId="0" borderId="0" xfId="0" applyFont="1" applyFill="1" applyAlignment="1">
      <alignment horizontal="right" vertical="center"/>
    </xf>
    <xf numFmtId="0" fontId="2" fillId="0" borderId="6" xfId="0" applyNumberFormat="1" applyFont="1" applyFill="1" applyBorder="1" applyAlignment="1" applyProtection="1">
      <alignment vertical="center"/>
      <protection locked="0"/>
    </xf>
    <xf numFmtId="0" fontId="2" fillId="0" borderId="1" xfId="0" applyNumberFormat="1" applyFont="1" applyFill="1" applyBorder="1" applyAlignment="1" applyProtection="1">
      <alignment vertical="center"/>
      <protection locked="0"/>
    </xf>
    <xf numFmtId="0" fontId="2" fillId="0" borderId="7" xfId="0" applyNumberFormat="1" applyFont="1" applyFill="1" applyBorder="1" applyAlignment="1" applyProtection="1">
      <alignment vertical="center"/>
      <protection locked="0"/>
    </xf>
    <xf numFmtId="0" fontId="2" fillId="0" borderId="10" xfId="0" applyFont="1" applyFill="1" applyBorder="1" applyAlignment="1">
      <alignment horizontal="center" vertical="center"/>
    </xf>
    <xf numFmtId="4" fontId="2" fillId="0" borderId="10" xfId="0" applyNumberFormat="1" applyFont="1" applyFill="1" applyBorder="1" applyAlignment="1">
      <alignment vertical="center"/>
    </xf>
    <xf numFmtId="4" fontId="2" fillId="0" borderId="0" xfId="0" applyNumberFormat="1" applyFont="1" applyFill="1" applyBorder="1" applyAlignment="1">
      <alignment vertical="center"/>
    </xf>
    <xf numFmtId="0" fontId="7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49" fontId="10" fillId="0" borderId="0" xfId="0" applyNumberFormat="1" applyFont="1" applyFill="1" applyBorder="1" applyAlignment="1">
      <alignment horizontal="left" vertical="center"/>
    </xf>
    <xf numFmtId="0" fontId="10" fillId="0" borderId="0" xfId="0" applyFont="1" applyFill="1" applyBorder="1" applyAlignment="1">
      <alignment horizontal="left" vertical="center"/>
    </xf>
    <xf numFmtId="167" fontId="19" fillId="0" borderId="0" xfId="0" applyNumberFormat="1" applyFont="1" applyFill="1" applyBorder="1" applyAlignment="1">
      <alignment horizontal="left" vertical="center"/>
    </xf>
    <xf numFmtId="0" fontId="4" fillId="0" borderId="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6" fillId="0" borderId="0" xfId="0" applyFont="1" applyFill="1" applyAlignment="1">
      <alignment vertical="center"/>
    </xf>
    <xf numFmtId="0" fontId="6" fillId="0" borderId="11" xfId="0" applyFont="1" applyFill="1" applyBorder="1" applyAlignment="1">
      <alignment horizontal="center" vertical="center"/>
    </xf>
    <xf numFmtId="0" fontId="0" fillId="0" borderId="0" xfId="0" applyFill="1" applyAlignment="1">
      <alignment horizontal="right" vertical="center"/>
    </xf>
    <xf numFmtId="0" fontId="0" fillId="0" borderId="0" xfId="0" applyFill="1" applyAlignment="1">
      <alignment vertical="center"/>
    </xf>
    <xf numFmtId="0" fontId="2" fillId="0" borderId="6" xfId="0" applyNumberFormat="1" applyFont="1" applyFill="1" applyBorder="1" applyAlignment="1" applyProtection="1">
      <alignment horizontal="left" vertical="center"/>
      <protection locked="0"/>
    </xf>
    <xf numFmtId="0" fontId="2" fillId="0" borderId="11" xfId="0" applyNumberFormat="1" applyFont="1" applyFill="1" applyBorder="1" applyAlignment="1" applyProtection="1">
      <alignment horizontal="center" vertical="center"/>
      <protection locked="0"/>
    </xf>
    <xf numFmtId="0" fontId="2" fillId="0" borderId="1" xfId="0" applyNumberFormat="1" applyFont="1" applyFill="1" applyBorder="1" applyAlignment="1" applyProtection="1">
      <alignment horizontal="left" vertical="center"/>
      <protection locked="0"/>
    </xf>
    <xf numFmtId="0" fontId="2" fillId="0" borderId="10" xfId="0" applyNumberFormat="1" applyFont="1" applyFill="1" applyBorder="1" applyAlignment="1" applyProtection="1">
      <alignment horizontal="center" vertical="center"/>
      <protection locked="0"/>
    </xf>
    <xf numFmtId="4" fontId="0" fillId="0" borderId="0" xfId="0" applyNumberFormat="1" applyFill="1" applyAlignment="1">
      <alignment vertical="center"/>
    </xf>
    <xf numFmtId="0" fontId="2" fillId="0" borderId="13" xfId="0" applyNumberFormat="1" applyFont="1" applyFill="1" applyBorder="1" applyAlignment="1" applyProtection="1">
      <alignment horizontal="center" vertical="center"/>
      <protection locked="0"/>
    </xf>
    <xf numFmtId="4" fontId="0" fillId="0" borderId="0" xfId="0" applyNumberFormat="1" applyFill="1" applyBorder="1" applyAlignment="1">
      <alignment vertical="center"/>
    </xf>
    <xf numFmtId="4" fontId="3" fillId="0" borderId="0" xfId="0" applyNumberFormat="1" applyFont="1" applyFill="1" applyAlignment="1">
      <alignment vertical="center"/>
    </xf>
    <xf numFmtId="0" fontId="2" fillId="0" borderId="7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>
      <alignment vertical="center"/>
    </xf>
    <xf numFmtId="165" fontId="0" fillId="0" borderId="0" xfId="0" applyNumberFormat="1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4" fontId="3" fillId="0" borderId="0" xfId="0" applyNumberFormat="1" applyFont="1" applyFill="1" applyBorder="1" applyAlignment="1">
      <alignment vertical="center"/>
    </xf>
    <xf numFmtId="168" fontId="3" fillId="0" borderId="0" xfId="0" applyNumberFormat="1" applyFont="1" applyFill="1" applyBorder="1" applyAlignment="1">
      <alignment vertical="center"/>
    </xf>
    <xf numFmtId="4" fontId="0" fillId="0" borderId="0" xfId="0" applyNumberFormat="1" applyFill="1" applyBorder="1" applyAlignment="1">
      <alignment horizontal="right" vertical="center"/>
    </xf>
    <xf numFmtId="2" fontId="0" fillId="0" borderId="0" xfId="0" applyNumberFormat="1" applyFill="1" applyBorder="1" applyAlignment="1">
      <alignment vertical="center"/>
    </xf>
    <xf numFmtId="2" fontId="5" fillId="0" borderId="0" xfId="0" applyNumberFormat="1" applyFont="1" applyFill="1" applyBorder="1" applyAlignment="1">
      <alignment vertical="center"/>
    </xf>
    <xf numFmtId="166" fontId="5" fillId="0" borderId="0" xfId="0" applyNumberFormat="1" applyFont="1" applyFill="1" applyBorder="1" applyAlignment="1">
      <alignment vertical="center"/>
    </xf>
    <xf numFmtId="166" fontId="0" fillId="0" borderId="0" xfId="0" applyNumberFormat="1" applyFill="1" applyAlignment="1">
      <alignment vertical="center"/>
    </xf>
    <xf numFmtId="14" fontId="0" fillId="0" borderId="0" xfId="0" applyNumberFormat="1" applyFill="1" applyAlignment="1">
      <alignment vertical="center"/>
    </xf>
    <xf numFmtId="43" fontId="0" fillId="0" borderId="0" xfId="0" applyNumberFormat="1" applyFill="1" applyAlignment="1">
      <alignment vertical="center"/>
    </xf>
    <xf numFmtId="0" fontId="14" fillId="0" borderId="0" xfId="0" applyFont="1" applyFill="1" applyAlignment="1">
      <alignment horizontal="center" vertical="center"/>
    </xf>
    <xf numFmtId="0" fontId="15" fillId="0" borderId="0" xfId="0" applyFont="1" applyFill="1" applyAlignment="1">
      <alignment horizontal="center" vertical="center"/>
    </xf>
    <xf numFmtId="0" fontId="0" fillId="0" borderId="0" xfId="0" applyFill="1" applyAlignment="1">
      <alignment horizontal="right" vertical="center" indent="1"/>
    </xf>
    <xf numFmtId="0" fontId="4" fillId="0" borderId="6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4" fontId="0" fillId="0" borderId="10" xfId="0" applyNumberFormat="1" applyFill="1" applyBorder="1" applyAlignment="1">
      <alignment horizontal="right" vertical="center" indent="1"/>
    </xf>
    <xf numFmtId="4" fontId="2" fillId="0" borderId="16" xfId="0" applyNumberFormat="1" applyFont="1" applyFill="1" applyBorder="1" applyAlignment="1" applyProtection="1">
      <alignment horizontal="right" vertical="center"/>
      <protection locked="0"/>
    </xf>
    <xf numFmtId="0" fontId="17" fillId="0" borderId="13" xfId="0" applyFont="1" applyFill="1" applyBorder="1" applyAlignment="1">
      <alignment horizontal="center" vertical="center"/>
    </xf>
    <xf numFmtId="0" fontId="17" fillId="0" borderId="11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center" vertical="center"/>
    </xf>
    <xf numFmtId="0" fontId="22" fillId="2" borderId="11" xfId="4" applyFont="1" applyBorder="1" applyAlignment="1">
      <alignment horizontal="center" vertical="center" wrapText="1"/>
    </xf>
    <xf numFmtId="4" fontId="0" fillId="0" borderId="11" xfId="0" applyNumberFormat="1" applyFill="1" applyBorder="1" applyAlignment="1">
      <alignment horizontal="right" vertical="center" indent="1"/>
    </xf>
    <xf numFmtId="9" fontId="0" fillId="0" borderId="11" xfId="3" applyFont="1" applyFill="1" applyBorder="1" applyAlignment="1">
      <alignment horizontal="right" vertical="center" indent="1"/>
    </xf>
    <xf numFmtId="9" fontId="0" fillId="0" borderId="10" xfId="3" applyFont="1" applyFill="1" applyBorder="1" applyAlignment="1">
      <alignment horizontal="right" vertical="center" indent="1"/>
    </xf>
    <xf numFmtId="4" fontId="0" fillId="0" borderId="13" xfId="0" applyNumberFormat="1" applyFill="1" applyBorder="1" applyAlignment="1">
      <alignment horizontal="right" vertical="center" indent="1"/>
    </xf>
    <xf numFmtId="9" fontId="0" fillId="0" borderId="13" xfId="3" applyFont="1" applyFill="1" applyBorder="1" applyAlignment="1">
      <alignment horizontal="right" vertical="center" indent="1"/>
    </xf>
    <xf numFmtId="0" fontId="17" fillId="4" borderId="5" xfId="0" applyFont="1" applyFill="1" applyBorder="1" applyAlignment="1">
      <alignment horizontal="center" vertical="center"/>
    </xf>
    <xf numFmtId="0" fontId="16" fillId="4" borderId="12" xfId="0" applyFont="1" applyFill="1" applyBorder="1" applyAlignment="1">
      <alignment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vertical="center"/>
    </xf>
    <xf numFmtId="4" fontId="2" fillId="4" borderId="12" xfId="0" applyNumberFormat="1" applyFont="1" applyFill="1" applyBorder="1" applyAlignment="1" applyProtection="1">
      <alignment vertical="center"/>
      <protection locked="0"/>
    </xf>
    <xf numFmtId="4" fontId="2" fillId="4" borderId="12" xfId="0" applyNumberFormat="1" applyFont="1" applyFill="1" applyBorder="1" applyAlignment="1">
      <alignment horizontal="right" vertical="center"/>
    </xf>
    <xf numFmtId="10" fontId="2" fillId="4" borderId="12" xfId="0" applyNumberFormat="1" applyFont="1" applyFill="1" applyBorder="1" applyAlignment="1">
      <alignment horizontal="right" vertical="center"/>
    </xf>
    <xf numFmtId="0" fontId="3" fillId="4" borderId="12" xfId="0" applyFont="1" applyFill="1" applyBorder="1" applyAlignment="1">
      <alignment vertical="center"/>
    </xf>
    <xf numFmtId="4" fontId="2" fillId="4" borderId="12" xfId="0" applyNumberFormat="1" applyFont="1" applyFill="1" applyBorder="1" applyAlignment="1" applyProtection="1">
      <alignment horizontal="right" vertical="center"/>
      <protection locked="0"/>
    </xf>
    <xf numFmtId="4" fontId="2" fillId="4" borderId="12" xfId="0" applyNumberFormat="1" applyFont="1" applyFill="1" applyBorder="1" applyAlignment="1">
      <alignment vertical="center"/>
    </xf>
    <xf numFmtId="10" fontId="26" fillId="4" borderId="12" xfId="0" applyNumberFormat="1" applyFont="1" applyFill="1" applyBorder="1" applyAlignment="1">
      <alignment vertical="center"/>
    </xf>
    <xf numFmtId="10" fontId="26" fillId="4" borderId="12" xfId="0" applyNumberFormat="1" applyFont="1" applyFill="1" applyBorder="1" applyAlignment="1">
      <alignment horizontal="right" vertical="center"/>
    </xf>
    <xf numFmtId="0" fontId="3" fillId="0" borderId="4" xfId="0" applyFont="1" applyFill="1" applyBorder="1" applyAlignment="1">
      <alignment horizontal="right" vertical="center"/>
    </xf>
    <xf numFmtId="0" fontId="2" fillId="0" borderId="4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right" vertical="center"/>
    </xf>
    <xf numFmtId="0" fontId="2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0" fillId="4" borderId="4" xfId="0" applyFill="1" applyBorder="1" applyAlignment="1">
      <alignment horizontal="right" vertical="center"/>
    </xf>
    <xf numFmtId="4" fontId="0" fillId="4" borderId="12" xfId="0" applyNumberFormat="1" applyFill="1" applyBorder="1" applyAlignment="1">
      <alignment horizontal="right" vertical="center" indent="1"/>
    </xf>
    <xf numFmtId="0" fontId="0" fillId="4" borderId="0" xfId="0" applyFill="1" applyBorder="1" applyAlignment="1">
      <alignment vertical="center"/>
    </xf>
    <xf numFmtId="0" fontId="0" fillId="4" borderId="3" xfId="0" applyFill="1" applyBorder="1" applyAlignment="1">
      <alignment vertical="center"/>
    </xf>
    <xf numFmtId="9" fontId="2" fillId="0" borderId="11" xfId="3" applyFont="1" applyFill="1" applyBorder="1" applyAlignment="1">
      <alignment horizontal="right" vertical="center" indent="1"/>
    </xf>
    <xf numFmtId="4" fontId="2" fillId="0" borderId="10" xfId="0" applyNumberFormat="1" applyFont="1" applyFill="1" applyBorder="1" applyAlignment="1">
      <alignment horizontal="right" vertical="center" indent="1"/>
    </xf>
    <xf numFmtId="9" fontId="2" fillId="0" borderId="10" xfId="3" applyFont="1" applyFill="1" applyBorder="1" applyAlignment="1">
      <alignment horizontal="right" vertical="center" indent="1"/>
    </xf>
    <xf numFmtId="0" fontId="16" fillId="0" borderId="2" xfId="0" applyFont="1" applyFill="1" applyBorder="1" applyAlignment="1">
      <alignment horizontal="right" vertical="center"/>
    </xf>
    <xf numFmtId="4" fontId="2" fillId="5" borderId="11" xfId="0" applyNumberFormat="1" applyFont="1" applyFill="1" applyBorder="1" applyAlignment="1" applyProtection="1">
      <alignment horizontal="right" vertical="center" indent="1"/>
      <protection locked="0"/>
    </xf>
    <xf numFmtId="4" fontId="2" fillId="0" borderId="11" xfId="0" applyNumberFormat="1" applyFont="1" applyFill="1" applyBorder="1" applyAlignment="1" applyProtection="1">
      <alignment horizontal="right" vertical="center" indent="1"/>
      <protection locked="0"/>
    </xf>
    <xf numFmtId="2" fontId="2" fillId="5" borderId="11" xfId="0" applyNumberFormat="1" applyFont="1" applyFill="1" applyBorder="1" applyAlignment="1" applyProtection="1">
      <alignment horizontal="right" vertical="center" indent="1"/>
      <protection locked="0"/>
    </xf>
    <xf numFmtId="4" fontId="2" fillId="5" borderId="10" xfId="0" applyNumberFormat="1" applyFont="1" applyFill="1" applyBorder="1" applyAlignment="1" applyProtection="1">
      <alignment horizontal="right" vertical="center" indent="1"/>
      <protection locked="0"/>
    </xf>
    <xf numFmtId="4" fontId="2" fillId="0" borderId="10" xfId="0" applyNumberFormat="1" applyFont="1" applyFill="1" applyBorder="1" applyAlignment="1" applyProtection="1">
      <alignment horizontal="right" vertical="center" indent="1"/>
      <protection locked="0"/>
    </xf>
    <xf numFmtId="2" fontId="2" fillId="5" borderId="10" xfId="0" applyNumberFormat="1" applyFont="1" applyFill="1" applyBorder="1" applyAlignment="1" applyProtection="1">
      <alignment horizontal="right" vertical="center" indent="1"/>
      <protection locked="0"/>
    </xf>
    <xf numFmtId="4" fontId="2" fillId="5" borderId="13" xfId="0" applyNumberFormat="1" applyFont="1" applyFill="1" applyBorder="1" applyAlignment="1" applyProtection="1">
      <alignment horizontal="right" vertical="center" indent="1"/>
      <protection locked="0"/>
    </xf>
    <xf numFmtId="4" fontId="2" fillId="0" borderId="13" xfId="0" applyNumberFormat="1" applyFont="1" applyFill="1" applyBorder="1" applyAlignment="1" applyProtection="1">
      <alignment horizontal="right" vertical="center" indent="1"/>
      <protection locked="0"/>
    </xf>
    <xf numFmtId="2" fontId="2" fillId="5" borderId="13" xfId="0" applyNumberFormat="1" applyFont="1" applyFill="1" applyBorder="1" applyAlignment="1" applyProtection="1">
      <alignment horizontal="right" vertical="center" indent="1"/>
      <protection locked="0"/>
    </xf>
    <xf numFmtId="10" fontId="2" fillId="4" borderId="12" xfId="0" applyNumberFormat="1" applyFont="1" applyFill="1" applyBorder="1" applyAlignment="1">
      <alignment horizontal="right" vertical="center" indent="1"/>
    </xf>
    <xf numFmtId="2" fontId="2" fillId="4" borderId="12" xfId="0" applyNumberFormat="1" applyFont="1" applyFill="1" applyBorder="1" applyAlignment="1">
      <alignment horizontal="right" vertical="center" indent="1"/>
    </xf>
    <xf numFmtId="2" fontId="2" fillId="5" borderId="10" xfId="0" applyNumberFormat="1" applyFont="1" applyFill="1" applyBorder="1" applyAlignment="1">
      <alignment horizontal="right" vertical="center" indent="1"/>
    </xf>
    <xf numFmtId="10" fontId="2" fillId="5" borderId="10" xfId="0" applyNumberFormat="1" applyFont="1" applyFill="1" applyBorder="1" applyAlignment="1">
      <alignment horizontal="right" vertical="center" indent="1"/>
    </xf>
    <xf numFmtId="10" fontId="2" fillId="5" borderId="13" xfId="0" applyNumberFormat="1" applyFont="1" applyFill="1" applyBorder="1" applyAlignment="1">
      <alignment horizontal="right" vertical="center" indent="1"/>
    </xf>
    <xf numFmtId="2" fontId="2" fillId="5" borderId="13" xfId="0" applyNumberFormat="1" applyFont="1" applyFill="1" applyBorder="1" applyAlignment="1">
      <alignment horizontal="right" vertical="center" indent="1"/>
    </xf>
    <xf numFmtId="2" fontId="2" fillId="5" borderId="11" xfId="0" applyNumberFormat="1" applyFont="1" applyFill="1" applyBorder="1" applyAlignment="1">
      <alignment horizontal="right" vertical="center" indent="1"/>
    </xf>
    <xf numFmtId="10" fontId="2" fillId="5" borderId="11" xfId="0" applyNumberFormat="1" applyFont="1" applyFill="1" applyBorder="1" applyAlignment="1">
      <alignment horizontal="right" vertical="center" indent="1"/>
    </xf>
    <xf numFmtId="169" fontId="0" fillId="0" borderId="0" xfId="0" applyNumberFormat="1" applyFill="1" applyBorder="1" applyAlignment="1">
      <alignment vertical="center"/>
    </xf>
    <xf numFmtId="167" fontId="2" fillId="0" borderId="0" xfId="0" applyNumberFormat="1" applyFont="1" applyFill="1" applyBorder="1" applyAlignment="1">
      <alignment horizontal="left" vertical="center"/>
    </xf>
    <xf numFmtId="170" fontId="2" fillId="0" borderId="0" xfId="0" applyNumberFormat="1" applyFont="1" applyFill="1" applyBorder="1" applyAlignment="1">
      <alignment horizontal="left" vertical="center"/>
    </xf>
    <xf numFmtId="4" fontId="21" fillId="4" borderId="12" xfId="0" applyNumberFormat="1" applyFont="1" applyFill="1" applyBorder="1" applyAlignment="1">
      <alignment horizontal="right" vertical="center"/>
    </xf>
    <xf numFmtId="0" fontId="22" fillId="2" borderId="7" xfId="4" applyFont="1" applyBorder="1" applyAlignment="1">
      <alignment horizontal="center" vertical="center" wrapText="1"/>
    </xf>
    <xf numFmtId="0" fontId="30" fillId="0" borderId="0" xfId="8" applyFont="1" applyAlignment="1">
      <alignment vertical="center"/>
    </xf>
    <xf numFmtId="4" fontId="30" fillId="0" borderId="0" xfId="8" applyNumberFormat="1" applyFont="1" applyAlignment="1">
      <alignment vertical="center"/>
    </xf>
    <xf numFmtId="2" fontId="30" fillId="9" borderId="18" xfId="10" applyNumberFormat="1" applyFont="1" applyFill="1" applyBorder="1" applyAlignment="1">
      <alignment horizontal="left" vertical="center" wrapText="1"/>
    </xf>
    <xf numFmtId="1" fontId="30" fillId="9" borderId="19" xfId="10" applyNumberFormat="1" applyFont="1" applyFill="1" applyBorder="1" applyAlignment="1">
      <alignment horizontal="center" vertical="center" wrapText="1"/>
    </xf>
    <xf numFmtId="2" fontId="30" fillId="9" borderId="10" xfId="10" applyNumberFormat="1" applyFont="1" applyFill="1" applyBorder="1" applyAlignment="1">
      <alignment horizontal="left" vertical="center" wrapText="1"/>
    </xf>
    <xf numFmtId="1" fontId="30" fillId="9" borderId="21" xfId="10" applyNumberFormat="1" applyFont="1" applyFill="1" applyBorder="1" applyAlignment="1">
      <alignment horizontal="center" vertical="center" wrapText="1"/>
    </xf>
    <xf numFmtId="2" fontId="30" fillId="9" borderId="23" xfId="10" applyNumberFormat="1" applyFont="1" applyFill="1" applyBorder="1" applyAlignment="1">
      <alignment horizontal="left" vertical="center" wrapText="1"/>
    </xf>
    <xf numFmtId="1" fontId="30" fillId="9" borderId="24" xfId="10" applyNumberFormat="1" applyFont="1" applyFill="1" applyBorder="1" applyAlignment="1">
      <alignment horizontal="center" vertical="center" wrapText="1"/>
    </xf>
    <xf numFmtId="0" fontId="30" fillId="0" borderId="33" xfId="8" applyFont="1" applyBorder="1" applyAlignment="1">
      <alignment vertical="center"/>
    </xf>
    <xf numFmtId="0" fontId="33" fillId="0" borderId="33" xfId="2" applyFont="1" applyFill="1" applyBorder="1" applyAlignment="1">
      <alignment horizontal="centerContinuous" vertical="center"/>
    </xf>
    <xf numFmtId="0" fontId="9" fillId="0" borderId="0" xfId="2" applyFont="1" applyFill="1" applyBorder="1" applyAlignment="1">
      <alignment horizontal="center" vertical="center"/>
    </xf>
    <xf numFmtId="0" fontId="1" fillId="0" borderId="0" xfId="8"/>
    <xf numFmtId="0" fontId="2" fillId="0" borderId="0" xfId="2" applyFont="1" applyFill="1" applyAlignment="1">
      <alignment vertical="center"/>
    </xf>
    <xf numFmtId="0" fontId="10" fillId="0" borderId="0" xfId="2" applyFont="1" applyFill="1" applyAlignment="1">
      <alignment vertical="center"/>
    </xf>
    <xf numFmtId="14" fontId="2" fillId="0" borderId="0" xfId="2" applyNumberFormat="1" applyFont="1" applyFill="1" applyAlignment="1">
      <alignment vertical="center"/>
    </xf>
    <xf numFmtId="172" fontId="2" fillId="0" borderId="0" xfId="2" applyNumberFormat="1" applyFont="1" applyFill="1" applyAlignment="1">
      <alignment vertical="center"/>
    </xf>
    <xf numFmtId="165" fontId="2" fillId="0" borderId="0" xfId="2" applyNumberFormat="1" applyFont="1" applyFill="1" applyAlignment="1">
      <alignment vertical="center"/>
    </xf>
    <xf numFmtId="166" fontId="2" fillId="0" borderId="0" xfId="2" applyNumberFormat="1" applyFont="1" applyFill="1" applyAlignment="1">
      <alignment vertical="center"/>
    </xf>
    <xf numFmtId="4" fontId="2" fillId="0" borderId="0" xfId="2" applyNumberFormat="1" applyFont="1" applyFill="1" applyAlignment="1">
      <alignment vertical="center"/>
    </xf>
    <xf numFmtId="0" fontId="16" fillId="0" borderId="0" xfId="0" applyFont="1" applyFill="1" applyBorder="1" applyAlignment="1">
      <alignment horizontal="right" vertical="center"/>
    </xf>
    <xf numFmtId="0" fontId="18" fillId="0" borderId="0" xfId="0" applyFont="1" applyFill="1" applyBorder="1" applyAlignment="1">
      <alignment vertical="center"/>
    </xf>
    <xf numFmtId="167" fontId="2" fillId="0" borderId="2" xfId="0" applyNumberFormat="1" applyFont="1" applyFill="1" applyBorder="1" applyAlignment="1">
      <alignment horizontal="left" vertical="center"/>
    </xf>
    <xf numFmtId="2" fontId="35" fillId="9" borderId="23" xfId="10" applyNumberFormat="1" applyFont="1" applyFill="1" applyBorder="1" applyAlignment="1">
      <alignment horizontal="center" vertical="center" wrapText="1"/>
    </xf>
    <xf numFmtId="4" fontId="35" fillId="0" borderId="23" xfId="10" applyNumberFormat="1" applyFont="1" applyBorder="1" applyAlignment="1">
      <alignment horizontal="right" vertical="center" indent="1"/>
    </xf>
    <xf numFmtId="4" fontId="35" fillId="9" borderId="23" xfId="10" applyNumberFormat="1" applyFont="1" applyFill="1" applyBorder="1" applyAlignment="1">
      <alignment horizontal="right" vertical="center" wrapText="1" indent="1"/>
    </xf>
    <xf numFmtId="4" fontId="35" fillId="0" borderId="23" xfId="8" applyNumberFormat="1" applyFont="1" applyBorder="1" applyAlignment="1">
      <alignment horizontal="right" vertical="center" indent="1"/>
    </xf>
    <xf numFmtId="2" fontId="35" fillId="9" borderId="10" xfId="10" quotePrefix="1" applyNumberFormat="1" applyFont="1" applyFill="1" applyBorder="1" applyAlignment="1">
      <alignment horizontal="center" vertical="center" wrapText="1"/>
    </xf>
    <xf numFmtId="4" fontId="35" fillId="0" borderId="10" xfId="10" applyNumberFormat="1" applyFont="1" applyBorder="1" applyAlignment="1">
      <alignment horizontal="right" vertical="center" indent="1"/>
    </xf>
    <xf numFmtId="4" fontId="35" fillId="0" borderId="10" xfId="8" applyNumberFormat="1" applyFont="1" applyBorder="1" applyAlignment="1">
      <alignment horizontal="right" vertical="center" indent="1"/>
    </xf>
    <xf numFmtId="2" fontId="35" fillId="9" borderId="10" xfId="10" applyNumberFormat="1" applyFont="1" applyFill="1" applyBorder="1" applyAlignment="1">
      <alignment horizontal="center" vertical="center" wrapText="1"/>
    </xf>
    <xf numFmtId="2" fontId="35" fillId="9" borderId="18" xfId="10" quotePrefix="1" applyNumberFormat="1" applyFont="1" applyFill="1" applyBorder="1" applyAlignment="1">
      <alignment horizontal="center" vertical="center" wrapText="1"/>
    </xf>
    <xf numFmtId="4" fontId="35" fillId="0" borderId="18" xfId="10" applyNumberFormat="1" applyFont="1" applyBorder="1" applyAlignment="1">
      <alignment horizontal="right" vertical="center" indent="1"/>
    </xf>
    <xf numFmtId="4" fontId="35" fillId="0" borderId="18" xfId="8" applyNumberFormat="1" applyFont="1" applyBorder="1" applyAlignment="1">
      <alignment horizontal="right" vertical="center" indent="1"/>
    </xf>
    <xf numFmtId="0" fontId="22" fillId="2" borderId="5" xfId="4" applyFont="1" applyBorder="1" applyAlignment="1">
      <alignment horizontal="center" vertical="center" wrapText="1"/>
    </xf>
    <xf numFmtId="0" fontId="22" fillId="2" borderId="5" xfId="4" applyFont="1" applyBorder="1" applyAlignment="1">
      <alignment horizontal="center" vertical="center" wrapText="1"/>
    </xf>
    <xf numFmtId="4" fontId="40" fillId="14" borderId="14" xfId="6" applyNumberFormat="1" applyFont="1" applyFill="1" applyBorder="1" applyAlignment="1">
      <alignment horizontal="right" vertical="center" indent="1"/>
    </xf>
    <xf numFmtId="166" fontId="40" fillId="14" borderId="15" xfId="6" applyNumberFormat="1" applyFont="1" applyFill="1" applyBorder="1" applyAlignment="1">
      <alignment horizontal="left" vertical="center" indent="1"/>
    </xf>
    <xf numFmtId="0" fontId="39" fillId="12" borderId="5" xfId="12" applyFont="1" applyBorder="1" applyAlignment="1">
      <alignment horizontal="center" vertical="center" wrapText="1"/>
    </xf>
    <xf numFmtId="4" fontId="0" fillId="0" borderId="0" xfId="0" applyNumberFormat="1" applyFill="1" applyAlignment="1">
      <alignment horizontal="right" vertical="center"/>
    </xf>
    <xf numFmtId="0" fontId="17" fillId="0" borderId="1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vertical="center"/>
    </xf>
    <xf numFmtId="0" fontId="2" fillId="0" borderId="16" xfId="0" applyFont="1" applyFill="1" applyBorder="1" applyAlignment="1">
      <alignment horizontal="center" vertical="center"/>
    </xf>
    <xf numFmtId="4" fontId="2" fillId="0" borderId="16" xfId="0" applyNumberFormat="1" applyFont="1" applyFill="1" applyBorder="1" applyAlignment="1">
      <alignment horizontal="right" vertical="center"/>
    </xf>
    <xf numFmtId="168" fontId="2" fillId="0" borderId="16" xfId="0" applyNumberFormat="1" applyFont="1" applyFill="1" applyBorder="1" applyAlignment="1">
      <alignment horizontal="right" vertical="center"/>
    </xf>
    <xf numFmtId="4" fontId="2" fillId="0" borderId="0" xfId="0" applyNumberFormat="1" applyFont="1" applyFill="1" applyBorder="1" applyAlignment="1">
      <alignment horizontal="right" vertical="center"/>
    </xf>
    <xf numFmtId="4" fontId="2" fillId="0" borderId="0" xfId="0" applyNumberFormat="1" applyFont="1" applyFill="1" applyBorder="1" applyAlignment="1" applyProtection="1">
      <alignment horizontal="right" vertical="center"/>
      <protection locked="0"/>
    </xf>
    <xf numFmtId="0" fontId="0" fillId="0" borderId="0" xfId="0" applyFill="1" applyBorder="1" applyAlignment="1">
      <alignment horizontal="right" vertical="center" indent="1"/>
    </xf>
    <xf numFmtId="0" fontId="22" fillId="2" borderId="7" xfId="4" applyFont="1" applyBorder="1" applyAlignment="1">
      <alignment horizontal="center" vertical="center" wrapText="1"/>
    </xf>
    <xf numFmtId="10" fontId="41" fillId="0" borderId="34" xfId="3" applyNumberFormat="1" applyFont="1" applyFill="1" applyBorder="1" applyAlignment="1">
      <alignment horizontal="right" vertical="center" indent="1"/>
    </xf>
    <xf numFmtId="10" fontId="41" fillId="0" borderId="34" xfId="3" applyNumberFormat="1" applyFont="1" applyFill="1" applyBorder="1" applyAlignment="1">
      <alignment horizontal="right" vertical="center" wrapText="1" indent="1"/>
    </xf>
    <xf numFmtId="10" fontId="0" fillId="0" borderId="0" xfId="0" applyNumberFormat="1" applyFill="1" applyBorder="1" applyAlignment="1">
      <alignment horizontal="right" vertical="center"/>
    </xf>
    <xf numFmtId="10" fontId="0" fillId="0" borderId="11" xfId="3" applyNumberFormat="1" applyFont="1" applyFill="1" applyBorder="1" applyAlignment="1">
      <alignment horizontal="right" vertical="center" indent="1"/>
    </xf>
    <xf numFmtId="10" fontId="0" fillId="0" borderId="10" xfId="3" applyNumberFormat="1" applyFont="1" applyFill="1" applyBorder="1" applyAlignment="1">
      <alignment horizontal="right" vertical="center" indent="1"/>
    </xf>
    <xf numFmtId="10" fontId="0" fillId="0" borderId="13" xfId="3" applyNumberFormat="1" applyFont="1" applyFill="1" applyBorder="1" applyAlignment="1">
      <alignment horizontal="right" vertical="center" indent="1"/>
    </xf>
    <xf numFmtId="10" fontId="2" fillId="4" borderId="4" xfId="0" applyNumberFormat="1" applyFont="1" applyFill="1" applyBorder="1" applyAlignment="1">
      <alignment horizontal="right" vertical="center"/>
    </xf>
    <xf numFmtId="168" fontId="0" fillId="0" borderId="0" xfId="0" applyNumberFormat="1" applyFill="1" applyAlignment="1">
      <alignment vertical="center"/>
    </xf>
    <xf numFmtId="9" fontId="0" fillId="0" borderId="13" xfId="3" applyNumberFormat="1" applyFont="1" applyFill="1" applyBorder="1" applyAlignment="1">
      <alignment horizontal="right" vertical="center" indent="1"/>
    </xf>
    <xf numFmtId="10" fontId="41" fillId="0" borderId="35" xfId="3" applyNumberFormat="1" applyFont="1" applyFill="1" applyBorder="1" applyAlignment="1">
      <alignment horizontal="right" vertical="center" indent="1"/>
    </xf>
    <xf numFmtId="4" fontId="42" fillId="11" borderId="12" xfId="4" applyNumberFormat="1" applyFont="1" applyFill="1" applyBorder="1" applyAlignment="1">
      <alignment vertical="center"/>
    </xf>
    <xf numFmtId="4" fontId="42" fillId="11" borderId="12" xfId="4" applyNumberFormat="1" applyFont="1" applyFill="1" applyBorder="1" applyAlignment="1" applyProtection="1">
      <alignment horizontal="right" vertical="center"/>
      <protection locked="0"/>
    </xf>
    <xf numFmtId="4" fontId="42" fillId="0" borderId="0" xfId="4" applyNumberFormat="1" applyFont="1" applyFill="1" applyBorder="1" applyAlignment="1">
      <alignment horizontal="right" vertical="center" indent="1"/>
    </xf>
    <xf numFmtId="166" fontId="42" fillId="0" borderId="0" xfId="4" applyNumberFormat="1" applyFont="1" applyFill="1" applyBorder="1" applyAlignment="1">
      <alignment horizontal="right" vertical="center" indent="1"/>
    </xf>
    <xf numFmtId="0" fontId="44" fillId="15" borderId="36" xfId="0" applyFont="1" applyFill="1" applyBorder="1" applyAlignment="1">
      <alignment horizontal="right" vertical="center" wrapText="1"/>
    </xf>
    <xf numFmtId="4" fontId="44" fillId="15" borderId="36" xfId="0" applyNumberFormat="1" applyFont="1" applyFill="1" applyBorder="1" applyAlignment="1">
      <alignment vertical="center" wrapText="1"/>
    </xf>
    <xf numFmtId="10" fontId="2" fillId="0" borderId="0" xfId="3" applyNumberFormat="1" applyFont="1" applyFill="1" applyAlignment="1">
      <alignment vertical="center"/>
    </xf>
    <xf numFmtId="166" fontId="42" fillId="11" borderId="14" xfId="4" applyNumberFormat="1" applyFont="1" applyFill="1" applyBorder="1" applyAlignment="1" applyProtection="1">
      <alignment vertical="center" wrapText="1"/>
      <protection locked="0"/>
    </xf>
    <xf numFmtId="166" fontId="42" fillId="11" borderId="12" xfId="4" applyNumberFormat="1" applyFont="1" applyFill="1" applyBorder="1" applyAlignment="1" applyProtection="1">
      <alignment vertical="center" wrapText="1"/>
      <protection locked="0"/>
    </xf>
    <xf numFmtId="0" fontId="0" fillId="0" borderId="0" xfId="0" applyFill="1"/>
    <xf numFmtId="0" fontId="0" fillId="0" borderId="0" xfId="0" applyFill="1" applyAlignment="1">
      <alignment horizontal="right"/>
    </xf>
    <xf numFmtId="0" fontId="15" fillId="0" borderId="0" xfId="0" applyFont="1" applyFill="1" applyAlignment="1">
      <alignment horizontal="center" readingOrder="1"/>
    </xf>
    <xf numFmtId="0" fontId="14" fillId="0" borderId="0" xfId="0" applyFont="1" applyFill="1" applyAlignment="1">
      <alignment horizontal="center" readingOrder="1"/>
    </xf>
    <xf numFmtId="43" fontId="0" fillId="0" borderId="0" xfId="0" applyNumberFormat="1" applyFill="1"/>
    <xf numFmtId="14" fontId="0" fillId="0" borderId="0" xfId="0" applyNumberFormat="1" applyFill="1"/>
    <xf numFmtId="4" fontId="0" fillId="0" borderId="0" xfId="0" applyNumberFormat="1" applyFill="1"/>
    <xf numFmtId="166" fontId="0" fillId="0" borderId="0" xfId="0" applyNumberFormat="1" applyFill="1"/>
    <xf numFmtId="4" fontId="3" fillId="0" borderId="0" xfId="0" applyNumberFormat="1" applyFont="1" applyFill="1"/>
    <xf numFmtId="0" fontId="0" fillId="0" borderId="0" xfId="0" applyFill="1" applyBorder="1"/>
    <xf numFmtId="4" fontId="0" fillId="0" borderId="0" xfId="0" applyNumberFormat="1" applyFill="1" applyBorder="1"/>
    <xf numFmtId="0" fontId="5" fillId="0" borderId="0" xfId="0" applyFont="1" applyFill="1" applyBorder="1"/>
    <xf numFmtId="166" fontId="5" fillId="0" borderId="0" xfId="0" applyNumberFormat="1" applyFont="1" applyFill="1" applyBorder="1"/>
    <xf numFmtId="2" fontId="5" fillId="0" borderId="0" xfId="0" applyNumberFormat="1" applyFont="1" applyFill="1" applyBorder="1"/>
    <xf numFmtId="2" fontId="0" fillId="0" borderId="0" xfId="0" applyNumberFormat="1" applyFill="1" applyBorder="1"/>
    <xf numFmtId="165" fontId="0" fillId="0" borderId="0" xfId="0" applyNumberFormat="1" applyFill="1" applyBorder="1"/>
    <xf numFmtId="0" fontId="3" fillId="0" borderId="0" xfId="0" applyFont="1" applyFill="1" applyBorder="1"/>
    <xf numFmtId="4" fontId="3" fillId="0" borderId="0" xfId="0" applyNumberFormat="1" applyFont="1" applyFill="1" applyBorder="1"/>
    <xf numFmtId="0" fontId="0" fillId="0" borderId="0" xfId="0" applyFill="1" applyBorder="1" applyAlignment="1">
      <alignment horizontal="right"/>
    </xf>
    <xf numFmtId="165" fontId="0" fillId="0" borderId="0" xfId="0" applyNumberFormat="1" applyFill="1" applyBorder="1" applyAlignment="1">
      <alignment horizontal="right"/>
    </xf>
    <xf numFmtId="4" fontId="0" fillId="0" borderId="0" xfId="0" applyNumberFormat="1" applyFill="1" applyBorder="1" applyAlignment="1">
      <alignment horizontal="right"/>
    </xf>
    <xf numFmtId="168" fontId="3" fillId="0" borderId="0" xfId="0" applyNumberFormat="1" applyFont="1" applyFill="1" applyBorder="1"/>
    <xf numFmtId="166" fontId="3" fillId="0" borderId="0" xfId="11" applyFont="1" applyFill="1" applyBorder="1" applyAlignment="1"/>
    <xf numFmtId="49" fontId="3" fillId="0" borderId="0" xfId="0" applyNumberFormat="1" applyFont="1" applyFill="1" applyBorder="1" applyAlignment="1"/>
    <xf numFmtId="2" fontId="3" fillId="0" borderId="0" xfId="0" applyNumberFormat="1" applyFont="1" applyFill="1" applyBorder="1" applyAlignment="1"/>
    <xf numFmtId="175" fontId="0" fillId="0" borderId="0" xfId="0" applyNumberFormat="1" applyFill="1" applyBorder="1"/>
    <xf numFmtId="10" fontId="0" fillId="0" borderId="0" xfId="13" applyNumberFormat="1" applyFont="1" applyFill="1" applyBorder="1"/>
    <xf numFmtId="164" fontId="0" fillId="0" borderId="0" xfId="0" applyNumberFormat="1" applyFill="1" applyBorder="1"/>
    <xf numFmtId="166" fontId="0" fillId="0" borderId="0" xfId="11" applyFont="1" applyFill="1" applyBorder="1"/>
    <xf numFmtId="4" fontId="3" fillId="0" borderId="5" xfId="0" applyNumberFormat="1" applyFont="1" applyFill="1" applyBorder="1"/>
    <xf numFmtId="4" fontId="0" fillId="0" borderId="0" xfId="0" applyNumberFormat="1" applyFill="1" applyAlignment="1">
      <alignment horizontal="right"/>
    </xf>
    <xf numFmtId="166" fontId="0" fillId="0" borderId="0" xfId="11" applyFont="1" applyFill="1" applyAlignment="1">
      <alignment horizontal="right"/>
    </xf>
    <xf numFmtId="166" fontId="0" fillId="0" borderId="0" xfId="11" applyFont="1" applyFill="1"/>
    <xf numFmtId="166" fontId="3" fillId="0" borderId="5" xfId="11" applyNumberFormat="1" applyFont="1" applyFill="1" applyBorder="1" applyAlignment="1">
      <alignment horizontal="right"/>
    </xf>
    <xf numFmtId="166" fontId="31" fillId="0" borderId="5" xfId="11" applyNumberFormat="1" applyFont="1" applyFill="1" applyBorder="1" applyAlignment="1" applyProtection="1">
      <alignment vertical="center" wrapText="1"/>
      <protection locked="0"/>
    </xf>
    <xf numFmtId="4" fontId="3" fillId="0" borderId="5" xfId="0" applyNumberFormat="1" applyFont="1" applyFill="1" applyBorder="1" applyAlignment="1" applyProtection="1">
      <alignment horizontal="right"/>
      <protection locked="0"/>
    </xf>
    <xf numFmtId="166" fontId="3" fillId="0" borderId="5" xfId="11" applyNumberFormat="1" applyFont="1" applyFill="1" applyBorder="1" applyAlignment="1" applyProtection="1">
      <alignment vertical="center" wrapText="1"/>
      <protection locked="0"/>
    </xf>
    <xf numFmtId="4" fontId="2" fillId="0" borderId="7" xfId="2" applyNumberFormat="1" applyFont="1" applyFill="1" applyBorder="1"/>
    <xf numFmtId="4" fontId="2" fillId="0" borderId="13" xfId="0" applyNumberFormat="1" applyFont="1" applyFill="1" applyBorder="1" applyProtection="1">
      <protection locked="0"/>
    </xf>
    <xf numFmtId="0" fontId="2" fillId="0" borderId="13" xfId="0" applyNumberFormat="1" applyFont="1" applyFill="1" applyBorder="1" applyAlignment="1" applyProtection="1">
      <alignment horizontal="center"/>
      <protection locked="0"/>
    </xf>
    <xf numFmtId="0" fontId="2" fillId="0" borderId="7" xfId="0" applyNumberFormat="1" applyFont="1" applyFill="1" applyBorder="1" applyAlignment="1" applyProtection="1">
      <alignment horizontal="left"/>
      <protection locked="0"/>
    </xf>
    <xf numFmtId="4" fontId="2" fillId="0" borderId="1" xfId="2" applyNumberFormat="1" applyFont="1" applyFill="1" applyBorder="1"/>
    <xf numFmtId="4" fontId="2" fillId="0" borderId="10" xfId="0" applyNumberFormat="1" applyFont="1" applyFill="1" applyBorder="1" applyProtection="1">
      <protection locked="0"/>
    </xf>
    <xf numFmtId="0" fontId="2" fillId="0" borderId="10" xfId="0" applyNumberFormat="1" applyFont="1" applyFill="1" applyBorder="1" applyAlignment="1" applyProtection="1">
      <alignment horizontal="center"/>
      <protection locked="0"/>
    </xf>
    <xf numFmtId="0" fontId="2" fillId="0" borderId="1" xfId="0" applyNumberFormat="1" applyFont="1" applyFill="1" applyBorder="1" applyAlignment="1" applyProtection="1">
      <alignment horizontal="left"/>
      <protection locked="0"/>
    </xf>
    <xf numFmtId="166" fontId="2" fillId="0" borderId="38" xfId="11" applyFont="1" applyFill="1" applyBorder="1" applyAlignment="1">
      <alignment horizontal="right"/>
    </xf>
    <xf numFmtId="166" fontId="2" fillId="0" borderId="12" xfId="11" applyFont="1" applyFill="1" applyBorder="1" applyAlignment="1">
      <alignment horizontal="right"/>
    </xf>
    <xf numFmtId="166" fontId="2" fillId="0" borderId="12" xfId="11" applyNumberFormat="1" applyFont="1" applyFill="1" applyBorder="1" applyAlignment="1">
      <alignment horizontal="right"/>
    </xf>
    <xf numFmtId="168" fontId="2" fillId="0" borderId="12" xfId="0" applyNumberFormat="1" applyFont="1" applyFill="1" applyBorder="1" applyAlignment="1" applyProtection="1">
      <alignment horizontal="right"/>
      <protection locked="0"/>
    </xf>
    <xf numFmtId="10" fontId="2" fillId="0" borderId="12" xfId="0" applyNumberFormat="1" applyFont="1" applyFill="1" applyBorder="1" applyAlignment="1">
      <alignment horizontal="right"/>
    </xf>
    <xf numFmtId="4" fontId="2" fillId="0" borderId="12" xfId="0" applyNumberFormat="1" applyFont="1" applyFill="1" applyBorder="1" applyAlignment="1" applyProtection="1">
      <alignment horizontal="right"/>
      <protection locked="0"/>
    </xf>
    <xf numFmtId="4" fontId="2" fillId="0" borderId="12" xfId="0" applyNumberFormat="1" applyFont="1" applyFill="1" applyBorder="1" applyAlignment="1">
      <alignment horizontal="right"/>
    </xf>
    <xf numFmtId="0" fontId="2" fillId="0" borderId="12" xfId="0" applyFont="1" applyFill="1" applyBorder="1" applyAlignment="1">
      <alignment horizontal="center" vertical="center"/>
    </xf>
    <xf numFmtId="0" fontId="16" fillId="0" borderId="12" xfId="0" applyFont="1" applyFill="1" applyBorder="1"/>
    <xf numFmtId="0" fontId="17" fillId="0" borderId="37" xfId="0" applyFont="1" applyFill="1" applyBorder="1" applyAlignment="1">
      <alignment horizontal="center" vertical="center"/>
    </xf>
    <xf numFmtId="4" fontId="2" fillId="0" borderId="13" xfId="2" applyNumberFormat="1" applyFont="1" applyFill="1" applyBorder="1"/>
    <xf numFmtId="4" fontId="2" fillId="0" borderId="10" xfId="2" applyNumberFormat="1" applyFont="1" applyFill="1" applyBorder="1"/>
    <xf numFmtId="4" fontId="2" fillId="0" borderId="11" xfId="2" applyNumberFormat="1" applyFont="1" applyFill="1" applyBorder="1"/>
    <xf numFmtId="4" fontId="2" fillId="0" borderId="11" xfId="0" applyNumberFormat="1" applyFont="1" applyFill="1" applyBorder="1" applyProtection="1">
      <protection locked="0"/>
    </xf>
    <xf numFmtId="0" fontId="2" fillId="0" borderId="11" xfId="0" applyNumberFormat="1" applyFont="1" applyFill="1" applyBorder="1" applyAlignment="1" applyProtection="1">
      <alignment horizontal="center"/>
      <protection locked="0"/>
    </xf>
    <xf numFmtId="166" fontId="2" fillId="0" borderId="10" xfId="11" applyFont="1" applyFill="1" applyBorder="1" applyAlignment="1">
      <alignment horizontal="right"/>
    </xf>
    <xf numFmtId="168" fontId="2" fillId="0" borderId="10" xfId="0" applyNumberFormat="1" applyFont="1" applyFill="1" applyBorder="1" applyAlignment="1" applyProtection="1">
      <alignment horizontal="right"/>
      <protection locked="0"/>
    </xf>
    <xf numFmtId="10" fontId="2" fillId="0" borderId="10" xfId="0" applyNumberFormat="1" applyFont="1" applyFill="1" applyBorder="1" applyAlignment="1">
      <alignment horizontal="right"/>
    </xf>
    <xf numFmtId="4" fontId="2" fillId="0" borderId="10" xfId="0" applyNumberFormat="1" applyFont="1" applyFill="1" applyBorder="1" applyAlignment="1" applyProtection="1">
      <alignment horizontal="right"/>
      <protection locked="0"/>
    </xf>
    <xf numFmtId="0" fontId="17" fillId="0" borderId="21" xfId="0" applyFont="1" applyFill="1" applyBorder="1" applyAlignment="1">
      <alignment horizontal="center" vertical="center"/>
    </xf>
    <xf numFmtId="4" fontId="2" fillId="0" borderId="6" xfId="2" applyNumberFormat="1" applyFont="1" applyFill="1" applyBorder="1"/>
    <xf numFmtId="0" fontId="2" fillId="0" borderId="6" xfId="0" applyNumberFormat="1" applyFont="1" applyFill="1" applyBorder="1" applyAlignment="1" applyProtection="1">
      <alignment horizontal="left"/>
      <protection locked="0"/>
    </xf>
    <xf numFmtId="4" fontId="2" fillId="0" borderId="12" xfId="0" applyNumberFormat="1" applyFont="1" applyFill="1" applyBorder="1"/>
    <xf numFmtId="4" fontId="2" fillId="0" borderId="39" xfId="2" applyNumberFormat="1" applyFont="1" applyFill="1" applyBorder="1"/>
    <xf numFmtId="0" fontId="0" fillId="17" borderId="0" xfId="0" applyFill="1"/>
    <xf numFmtId="0" fontId="0" fillId="17" borderId="0" xfId="0" applyFill="1" applyAlignment="1">
      <alignment horizontal="right"/>
    </xf>
    <xf numFmtId="4" fontId="0" fillId="17" borderId="0" xfId="0" applyNumberFormat="1" applyFill="1" applyAlignment="1">
      <alignment horizontal="right"/>
    </xf>
    <xf numFmtId="4" fontId="0" fillId="17" borderId="0" xfId="0" applyNumberFormat="1" applyFill="1"/>
    <xf numFmtId="4" fontId="0" fillId="0" borderId="0" xfId="0" applyNumberFormat="1" applyFill="1" applyAlignment="1">
      <alignment horizontal="left"/>
    </xf>
    <xf numFmtId="0" fontId="0" fillId="18" borderId="0" xfId="0" applyFill="1"/>
    <xf numFmtId="4" fontId="0" fillId="18" borderId="0" xfId="0" applyNumberFormat="1" applyFill="1"/>
    <xf numFmtId="0" fontId="0" fillId="18" borderId="0" xfId="0" applyFill="1" applyAlignment="1">
      <alignment horizontal="right"/>
    </xf>
    <xf numFmtId="4" fontId="0" fillId="18" borderId="0" xfId="0" applyNumberFormat="1" applyFill="1" applyAlignment="1">
      <alignment horizontal="right"/>
    </xf>
    <xf numFmtId="4" fontId="0" fillId="18" borderId="0" xfId="0" applyNumberFormat="1" applyFill="1" applyAlignment="1">
      <alignment horizontal="left"/>
    </xf>
    <xf numFmtId="4" fontId="2" fillId="0" borderId="0" xfId="0" applyNumberFormat="1" applyFont="1" applyFill="1" applyAlignment="1">
      <alignment horizontal="right"/>
    </xf>
    <xf numFmtId="0" fontId="3" fillId="0" borderId="12" xfId="0" applyFont="1" applyFill="1" applyBorder="1" applyAlignment="1"/>
    <xf numFmtId="0" fontId="2" fillId="0" borderId="7" xfId="0" applyNumberFormat="1" applyFont="1" applyFill="1" applyBorder="1" applyAlignment="1" applyProtection="1">
      <protection locked="0"/>
    </xf>
    <xf numFmtId="0" fontId="2" fillId="0" borderId="1" xfId="0" applyNumberFormat="1" applyFont="1" applyFill="1" applyBorder="1" applyAlignment="1" applyProtection="1">
      <protection locked="0"/>
    </xf>
    <xf numFmtId="4" fontId="2" fillId="0" borderId="12" xfId="0" applyNumberFormat="1" applyFont="1" applyFill="1" applyBorder="1" applyProtection="1">
      <protection locked="0"/>
    </xf>
    <xf numFmtId="0" fontId="2" fillId="0" borderId="12" xfId="0" applyFont="1" applyFill="1" applyBorder="1"/>
    <xf numFmtId="0" fontId="6" fillId="0" borderId="0" xfId="0" applyFont="1" applyFill="1"/>
    <xf numFmtId="0" fontId="6" fillId="0" borderId="0" xfId="0" applyFont="1" applyFill="1" applyAlignment="1">
      <alignment horizontal="right"/>
    </xf>
    <xf numFmtId="4" fontId="6" fillId="0" borderId="0" xfId="0" applyNumberFormat="1" applyFont="1" applyFill="1" applyAlignment="1">
      <alignment horizontal="right"/>
    </xf>
    <xf numFmtId="4" fontId="6" fillId="0" borderId="0" xfId="0" applyNumberFormat="1" applyFont="1" applyFill="1"/>
    <xf numFmtId="0" fontId="6" fillId="0" borderId="11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0" fontId="10" fillId="0" borderId="0" xfId="0" applyFont="1" applyFill="1"/>
    <xf numFmtId="0" fontId="10" fillId="0" borderId="0" xfId="0" applyFont="1" applyFill="1" applyAlignment="1">
      <alignment horizontal="right"/>
    </xf>
    <xf numFmtId="0" fontId="45" fillId="0" borderId="2" xfId="0" applyFont="1" applyFill="1" applyBorder="1" applyAlignment="1">
      <alignment horizontal="right" vertical="center"/>
    </xf>
    <xf numFmtId="0" fontId="9" fillId="0" borderId="0" xfId="0" applyFont="1" applyFill="1" applyBorder="1" applyAlignment="1">
      <alignment horizontal="right" vertical="center"/>
    </xf>
    <xf numFmtId="0" fontId="4" fillId="0" borderId="46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10" fillId="0" borderId="4" xfId="0" applyFont="1" applyFill="1" applyBorder="1" applyAlignment="1">
      <alignment vertical="center"/>
    </xf>
    <xf numFmtId="0" fontId="9" fillId="0" borderId="4" xfId="0" applyFont="1" applyFill="1" applyBorder="1" applyAlignment="1">
      <alignment horizontal="right" vertical="center"/>
    </xf>
    <xf numFmtId="0" fontId="4" fillId="0" borderId="48" xfId="0" applyFont="1" applyFill="1" applyBorder="1" applyAlignment="1">
      <alignment horizontal="center" vertical="center"/>
    </xf>
    <xf numFmtId="0" fontId="4" fillId="0" borderId="44" xfId="0" applyFont="1" applyFill="1" applyBorder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2" fillId="0" borderId="0" xfId="0" applyFont="1" applyFill="1" applyAlignment="1">
      <alignment horizontal="right" vertical="center"/>
    </xf>
    <xf numFmtId="2" fontId="2" fillId="4" borderId="12" xfId="0" applyNumberFormat="1" applyFont="1" applyFill="1" applyBorder="1" applyAlignment="1">
      <alignment horizontal="right" vertical="center"/>
    </xf>
    <xf numFmtId="10" fontId="41" fillId="0" borderId="0" xfId="3" applyNumberFormat="1" applyFont="1" applyFill="1" applyBorder="1" applyAlignment="1">
      <alignment horizontal="right" vertical="center" wrapText="1" indent="1"/>
    </xf>
    <xf numFmtId="10" fontId="41" fillId="0" borderId="0" xfId="3" applyNumberFormat="1" applyFont="1" applyFill="1" applyBorder="1" applyAlignment="1">
      <alignment horizontal="right" vertical="center" indent="1"/>
    </xf>
    <xf numFmtId="4" fontId="0" fillId="0" borderId="14" xfId="0" applyNumberFormat="1" applyFill="1" applyBorder="1" applyAlignment="1">
      <alignment horizontal="right" vertical="center" indent="1"/>
    </xf>
    <xf numFmtId="0" fontId="0" fillId="0" borderId="14" xfId="0" applyFill="1" applyBorder="1" applyAlignment="1">
      <alignment horizontal="right" vertical="center" indent="1"/>
    </xf>
    <xf numFmtId="4" fontId="2" fillId="0" borderId="6" xfId="2" applyNumberFormat="1" applyFont="1" applyFill="1" applyBorder="1" applyAlignment="1">
      <alignment horizontal="right" vertical="center" indent="1"/>
    </xf>
    <xf numFmtId="4" fontId="2" fillId="0" borderId="1" xfId="2" applyNumberFormat="1" applyFont="1" applyFill="1" applyBorder="1" applyAlignment="1">
      <alignment horizontal="right" vertical="center" indent="1"/>
    </xf>
    <xf numFmtId="4" fontId="2" fillId="0" borderId="13" xfId="2" applyNumberFormat="1" applyFont="1" applyFill="1" applyBorder="1" applyAlignment="1">
      <alignment horizontal="right" vertical="center" indent="1"/>
    </xf>
    <xf numFmtId="4" fontId="21" fillId="6" borderId="10" xfId="0" applyNumberFormat="1" applyFont="1" applyFill="1" applyBorder="1" applyAlignment="1" applyProtection="1">
      <alignment horizontal="right" vertical="center" indent="1"/>
      <protection locked="0"/>
    </xf>
    <xf numFmtId="4" fontId="21" fillId="6" borderId="13" xfId="0" applyNumberFormat="1" applyFont="1" applyFill="1" applyBorder="1" applyAlignment="1" applyProtection="1">
      <alignment horizontal="right" vertical="center" indent="1"/>
      <protection locked="0"/>
    </xf>
    <xf numFmtId="4" fontId="2" fillId="0" borderId="7" xfId="2" applyNumberFormat="1" applyFont="1" applyFill="1" applyBorder="1" applyAlignment="1">
      <alignment horizontal="right" vertical="center" indent="1"/>
    </xf>
    <xf numFmtId="4" fontId="2" fillId="0" borderId="0" xfId="0" applyNumberFormat="1" applyFont="1" applyFill="1" applyBorder="1" applyAlignment="1">
      <alignment horizontal="right" vertical="center" indent="1"/>
    </xf>
    <xf numFmtId="4" fontId="2" fillId="0" borderId="11" xfId="2" applyNumberFormat="1" applyFont="1" applyFill="1" applyBorder="1" applyAlignment="1">
      <alignment horizontal="right" vertical="center" indent="1"/>
    </xf>
    <xf numFmtId="4" fontId="2" fillId="0" borderId="10" xfId="2" applyNumberFormat="1" applyFont="1" applyFill="1" applyBorder="1" applyAlignment="1">
      <alignment horizontal="right" vertical="center" indent="1"/>
    </xf>
    <xf numFmtId="169" fontId="0" fillId="0" borderId="0" xfId="0" applyNumberFormat="1" applyFill="1"/>
    <xf numFmtId="169" fontId="0" fillId="17" borderId="0" xfId="0" applyNumberFormat="1" applyFill="1"/>
    <xf numFmtId="175" fontId="0" fillId="17" borderId="0" xfId="0" applyNumberFormat="1" applyFill="1"/>
    <xf numFmtId="2" fontId="45" fillId="19" borderId="26" xfId="7" applyNumberFormat="1" applyFont="1" applyFill="1" applyBorder="1" applyAlignment="1">
      <alignment horizontal="center" vertical="center" wrapText="1"/>
    </xf>
    <xf numFmtId="10" fontId="45" fillId="19" borderId="23" xfId="9" applyNumberFormat="1" applyFont="1" applyFill="1" applyBorder="1" applyAlignment="1">
      <alignment horizontal="right" vertical="center" indent="1"/>
    </xf>
    <xf numFmtId="10" fontId="45" fillId="19" borderId="10" xfId="9" applyNumberFormat="1" applyFont="1" applyFill="1" applyBorder="1" applyAlignment="1">
      <alignment horizontal="right" vertical="center" indent="1"/>
    </xf>
    <xf numFmtId="10" fontId="45" fillId="19" borderId="18" xfId="9" applyNumberFormat="1" applyFont="1" applyFill="1" applyBorder="1" applyAlignment="1">
      <alignment horizontal="right" vertical="center" indent="1"/>
    </xf>
    <xf numFmtId="2" fontId="45" fillId="20" borderId="26" xfId="10" applyNumberFormat="1" applyFont="1" applyFill="1" applyBorder="1" applyAlignment="1">
      <alignment horizontal="center" vertical="center" wrapText="1"/>
    </xf>
    <xf numFmtId="10" fontId="45" fillId="20" borderId="23" xfId="9" applyNumberFormat="1" applyFont="1" applyFill="1" applyBorder="1" applyAlignment="1">
      <alignment horizontal="right" vertical="center" indent="1"/>
    </xf>
    <xf numFmtId="10" fontId="45" fillId="20" borderId="10" xfId="9" applyNumberFormat="1" applyFont="1" applyFill="1" applyBorder="1" applyAlignment="1">
      <alignment horizontal="right" vertical="center" indent="1"/>
    </xf>
    <xf numFmtId="10" fontId="45" fillId="20" borderId="18" xfId="9" applyNumberFormat="1" applyFont="1" applyFill="1" applyBorder="1" applyAlignment="1">
      <alignment horizontal="right" vertical="center" indent="1"/>
    </xf>
    <xf numFmtId="2" fontId="45" fillId="21" borderId="26" xfId="10" applyNumberFormat="1" applyFont="1" applyFill="1" applyBorder="1" applyAlignment="1">
      <alignment horizontal="center" vertical="center" wrapText="1"/>
    </xf>
    <xf numFmtId="2" fontId="45" fillId="21" borderId="25" xfId="10" applyNumberFormat="1" applyFont="1" applyFill="1" applyBorder="1" applyAlignment="1">
      <alignment horizontal="center" vertical="center" wrapText="1"/>
    </xf>
    <xf numFmtId="10" fontId="45" fillId="21" borderId="22" xfId="9" applyNumberFormat="1" applyFont="1" applyFill="1" applyBorder="1" applyAlignment="1">
      <alignment horizontal="center" vertical="center"/>
    </xf>
    <xf numFmtId="10" fontId="45" fillId="21" borderId="20" xfId="9" applyNumberFormat="1" applyFont="1" applyFill="1" applyBorder="1" applyAlignment="1">
      <alignment horizontal="center" vertical="center"/>
    </xf>
    <xf numFmtId="10" fontId="45" fillId="21" borderId="17" xfId="9" applyNumberFormat="1" applyFont="1" applyFill="1" applyBorder="1" applyAlignment="1">
      <alignment horizontal="center" vertical="center"/>
    </xf>
    <xf numFmtId="2" fontId="45" fillId="22" borderId="30" xfId="10" applyNumberFormat="1" applyFont="1" applyFill="1" applyBorder="1" applyAlignment="1">
      <alignment horizontal="center" vertical="center" wrapText="1"/>
    </xf>
    <xf numFmtId="2" fontId="45" fillId="22" borderId="26" xfId="10" applyNumberFormat="1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vertical="center"/>
    </xf>
    <xf numFmtId="0" fontId="46" fillId="0" borderId="0" xfId="0" applyFont="1" applyFill="1" applyAlignment="1">
      <alignment vertical="center"/>
    </xf>
    <xf numFmtId="2" fontId="46" fillId="0" borderId="0" xfId="0" applyNumberFormat="1" applyFont="1" applyFill="1" applyBorder="1" applyAlignment="1">
      <alignment horizontal="right" vertical="center" indent="1"/>
    </xf>
    <xf numFmtId="0" fontId="17" fillId="0" borderId="41" xfId="0" applyFont="1" applyFill="1" applyBorder="1" applyAlignment="1">
      <alignment horizontal="center" vertical="center"/>
    </xf>
    <xf numFmtId="4" fontId="2" fillId="0" borderId="11" xfId="0" applyNumberFormat="1" applyFont="1" applyFill="1" applyBorder="1" applyAlignment="1">
      <alignment horizontal="right"/>
    </xf>
    <xf numFmtId="4" fontId="2" fillId="0" borderId="11" xfId="0" applyNumberFormat="1" applyFont="1" applyFill="1" applyBorder="1" applyAlignment="1" applyProtection="1">
      <alignment horizontal="right"/>
      <protection locked="0"/>
    </xf>
    <xf numFmtId="10" fontId="19" fillId="0" borderId="11" xfId="0" applyNumberFormat="1" applyFont="1" applyFill="1" applyBorder="1" applyAlignment="1">
      <alignment horizontal="right"/>
    </xf>
    <xf numFmtId="166" fontId="2" fillId="0" borderId="11" xfId="11" applyFont="1" applyFill="1" applyBorder="1" applyAlignment="1">
      <alignment horizontal="right"/>
    </xf>
    <xf numFmtId="166" fontId="2" fillId="0" borderId="11" xfId="11" applyNumberFormat="1" applyFont="1" applyFill="1" applyBorder="1" applyAlignment="1">
      <alignment horizontal="right"/>
    </xf>
    <xf numFmtId="166" fontId="32" fillId="0" borderId="11" xfId="11" applyFont="1" applyFill="1" applyBorder="1" applyAlignment="1">
      <alignment horizontal="right"/>
    </xf>
    <xf numFmtId="4" fontId="2" fillId="0" borderId="10" xfId="0" applyNumberFormat="1" applyFont="1" applyFill="1" applyBorder="1" applyAlignment="1">
      <alignment horizontal="right"/>
    </xf>
    <xf numFmtId="166" fontId="2" fillId="0" borderId="10" xfId="11" applyNumberFormat="1" applyFont="1" applyFill="1" applyBorder="1" applyAlignment="1">
      <alignment horizontal="right"/>
    </xf>
    <xf numFmtId="166" fontId="32" fillId="0" borderId="10" xfId="11" applyFont="1" applyFill="1" applyBorder="1" applyAlignment="1">
      <alignment horizontal="right"/>
    </xf>
    <xf numFmtId="0" fontId="17" fillId="0" borderId="53" xfId="0" applyFont="1" applyFill="1" applyBorder="1" applyAlignment="1">
      <alignment horizontal="center" vertical="center"/>
    </xf>
    <xf numFmtId="4" fontId="2" fillId="0" borderId="13" xfId="0" applyNumberFormat="1" applyFont="1" applyFill="1" applyBorder="1" applyAlignment="1">
      <alignment horizontal="right"/>
    </xf>
    <xf numFmtId="4" fontId="2" fillId="0" borderId="13" xfId="0" applyNumberFormat="1" applyFont="1" applyFill="1" applyBorder="1" applyAlignment="1" applyProtection="1">
      <alignment horizontal="right"/>
      <protection locked="0"/>
    </xf>
    <xf numFmtId="10" fontId="2" fillId="0" borderId="13" xfId="0" applyNumberFormat="1" applyFont="1" applyFill="1" applyBorder="1" applyAlignment="1">
      <alignment horizontal="right"/>
    </xf>
    <xf numFmtId="166" fontId="2" fillId="0" borderId="13" xfId="11" applyNumberFormat="1" applyFont="1" applyFill="1" applyBorder="1" applyAlignment="1">
      <alignment horizontal="right"/>
    </xf>
    <xf numFmtId="166" fontId="2" fillId="0" borderId="13" xfId="11" applyFont="1" applyFill="1" applyBorder="1" applyAlignment="1">
      <alignment horizontal="right"/>
    </xf>
    <xf numFmtId="166" fontId="32" fillId="0" borderId="13" xfId="11" applyFont="1" applyFill="1" applyBorder="1" applyAlignment="1">
      <alignment horizontal="right"/>
    </xf>
    <xf numFmtId="10" fontId="2" fillId="0" borderId="11" xfId="0" applyNumberFormat="1" applyFont="1" applyFill="1" applyBorder="1" applyAlignment="1">
      <alignment horizontal="right"/>
    </xf>
    <xf numFmtId="168" fontId="2" fillId="0" borderId="13" xfId="0" applyNumberFormat="1" applyFont="1" applyFill="1" applyBorder="1" applyAlignment="1" applyProtection="1">
      <alignment horizontal="right"/>
      <protection locked="0"/>
    </xf>
    <xf numFmtId="168" fontId="2" fillId="0" borderId="11" xfId="0" applyNumberFormat="1" applyFont="1" applyFill="1" applyBorder="1" applyAlignment="1" applyProtection="1">
      <alignment horizontal="right"/>
      <protection locked="0"/>
    </xf>
    <xf numFmtId="0" fontId="17" fillId="0" borderId="49" xfId="0" applyFont="1" applyFill="1" applyBorder="1" applyAlignment="1">
      <alignment horizontal="center" vertical="center"/>
    </xf>
    <xf numFmtId="168" fontId="2" fillId="0" borderId="12" xfId="0" applyNumberFormat="1" applyFont="1" applyFill="1" applyBorder="1" applyAlignment="1">
      <alignment horizontal="right"/>
    </xf>
    <xf numFmtId="166" fontId="32" fillId="0" borderId="14" xfId="11" applyFont="1" applyFill="1" applyBorder="1" applyAlignment="1">
      <alignment horizontal="right"/>
    </xf>
    <xf numFmtId="10" fontId="47" fillId="7" borderId="0" xfId="6" applyNumberFormat="1" applyFont="1" applyAlignment="1">
      <alignment horizontal="center" vertical="center"/>
    </xf>
    <xf numFmtId="3" fontId="36" fillId="16" borderId="23" xfId="8" applyNumberFormat="1" applyFont="1" applyFill="1" applyBorder="1" applyAlignment="1">
      <alignment horizontal="center" vertical="center"/>
    </xf>
    <xf numFmtId="172" fontId="35" fillId="16" borderId="23" xfId="8" applyNumberFormat="1" applyFont="1" applyFill="1" applyBorder="1" applyAlignment="1">
      <alignment horizontal="center" vertical="center"/>
    </xf>
    <xf numFmtId="3" fontId="36" fillId="16" borderId="10" xfId="8" applyNumberFormat="1" applyFont="1" applyFill="1" applyBorder="1" applyAlignment="1">
      <alignment horizontal="center" vertical="center"/>
    </xf>
    <xf numFmtId="172" fontId="35" fillId="16" borderId="10" xfId="8" applyNumberFormat="1" applyFont="1" applyFill="1" applyBorder="1" applyAlignment="1">
      <alignment horizontal="center" vertical="center"/>
    </xf>
    <xf numFmtId="172" fontId="35" fillId="16" borderId="10" xfId="10" applyNumberFormat="1" applyFont="1" applyFill="1" applyBorder="1" applyAlignment="1">
      <alignment horizontal="center" vertical="center"/>
    </xf>
    <xf numFmtId="3" fontId="36" fillId="16" borderId="18" xfId="8" applyNumberFormat="1" applyFont="1" applyFill="1" applyBorder="1" applyAlignment="1">
      <alignment horizontal="center" vertical="center"/>
    </xf>
    <xf numFmtId="172" fontId="35" fillId="16" borderId="18" xfId="8" applyNumberFormat="1" applyFont="1" applyFill="1" applyBorder="1" applyAlignment="1">
      <alignment horizontal="center" vertical="center"/>
    </xf>
    <xf numFmtId="4" fontId="42" fillId="0" borderId="54" xfId="4" applyNumberFormat="1" applyFont="1" applyFill="1" applyBorder="1" applyAlignment="1">
      <alignment vertical="center"/>
    </xf>
    <xf numFmtId="171" fontId="2" fillId="0" borderId="10" xfId="0" applyNumberFormat="1" applyFont="1" applyFill="1" applyBorder="1" applyAlignment="1" applyProtection="1">
      <alignment horizontal="right"/>
      <protection locked="0"/>
    </xf>
    <xf numFmtId="0" fontId="2" fillId="0" borderId="0" xfId="0" applyFont="1" applyFill="1" applyBorder="1"/>
    <xf numFmtId="0" fontId="2" fillId="0" borderId="0" xfId="0" applyFont="1" applyFill="1"/>
    <xf numFmtId="4" fontId="48" fillId="0" borderId="0" xfId="0" applyNumberFormat="1" applyFont="1" applyFill="1" applyAlignment="1">
      <alignment horizontal="right"/>
    </xf>
    <xf numFmtId="0" fontId="48" fillId="0" borderId="0" xfId="0" applyFont="1" applyFill="1" applyAlignment="1">
      <alignment horizontal="right"/>
    </xf>
    <xf numFmtId="166" fontId="26" fillId="0" borderId="10" xfId="11" applyFont="1" applyFill="1" applyBorder="1" applyAlignment="1">
      <alignment horizontal="right"/>
    </xf>
    <xf numFmtId="166" fontId="26" fillId="0" borderId="10" xfId="11" applyNumberFormat="1" applyFont="1" applyFill="1" applyBorder="1" applyAlignment="1">
      <alignment horizontal="right"/>
    </xf>
    <xf numFmtId="4" fontId="26" fillId="0" borderId="13" xfId="0" applyNumberFormat="1" applyFont="1" applyFill="1" applyBorder="1" applyAlignment="1">
      <alignment horizontal="right"/>
    </xf>
    <xf numFmtId="166" fontId="26" fillId="0" borderId="13" xfId="11" applyNumberFormat="1" applyFont="1" applyFill="1" applyBorder="1" applyAlignment="1">
      <alignment horizontal="right"/>
    </xf>
    <xf numFmtId="166" fontId="26" fillId="0" borderId="13" xfId="11" applyFont="1" applyFill="1" applyBorder="1" applyAlignment="1">
      <alignment horizontal="right"/>
    </xf>
    <xf numFmtId="166" fontId="26" fillId="0" borderId="12" xfId="11" applyNumberFormat="1" applyFont="1" applyFill="1" applyBorder="1" applyAlignment="1">
      <alignment horizontal="right"/>
    </xf>
    <xf numFmtId="166" fontId="26" fillId="0" borderId="12" xfId="11" applyFont="1" applyFill="1" applyBorder="1" applyAlignment="1">
      <alignment horizontal="right"/>
    </xf>
    <xf numFmtId="166" fontId="26" fillId="0" borderId="11" xfId="11" applyNumberFormat="1" applyFont="1" applyFill="1" applyBorder="1" applyAlignment="1">
      <alignment horizontal="right"/>
    </xf>
    <xf numFmtId="166" fontId="26" fillId="0" borderId="11" xfId="11" applyFont="1" applyFill="1" applyBorder="1" applyAlignment="1">
      <alignment horizontal="right"/>
    </xf>
    <xf numFmtId="168" fontId="26" fillId="0" borderId="12" xfId="0" applyNumberFormat="1" applyFont="1" applyFill="1" applyBorder="1" applyAlignment="1" applyProtection="1">
      <alignment horizontal="right"/>
      <protection locked="0"/>
    </xf>
    <xf numFmtId="4" fontId="26" fillId="0" borderId="11" xfId="0" applyNumberFormat="1" applyFont="1" applyFill="1" applyBorder="1" applyAlignment="1" applyProtection="1">
      <alignment horizontal="right"/>
      <protection locked="0"/>
    </xf>
    <xf numFmtId="4" fontId="26" fillId="0" borderId="10" xfId="0" applyNumberFormat="1" applyFont="1" applyFill="1" applyBorder="1" applyAlignment="1" applyProtection="1">
      <alignment horizontal="right"/>
      <protection locked="0"/>
    </xf>
    <xf numFmtId="166" fontId="29" fillId="7" borderId="10" xfId="6" applyNumberFormat="1" applyBorder="1" applyAlignment="1">
      <alignment horizontal="right"/>
    </xf>
    <xf numFmtId="9" fontId="0" fillId="0" borderId="11" xfId="3" applyNumberFormat="1" applyFont="1" applyFill="1" applyBorder="1" applyAlignment="1">
      <alignment horizontal="right" vertical="center" indent="1"/>
    </xf>
    <xf numFmtId="9" fontId="0" fillId="0" borderId="10" xfId="3" applyNumberFormat="1" applyFont="1" applyFill="1" applyBorder="1" applyAlignment="1">
      <alignment horizontal="right" vertical="center" indent="1"/>
    </xf>
    <xf numFmtId="9" fontId="0" fillId="4" borderId="12" xfId="0" applyNumberFormat="1" applyFill="1" applyBorder="1" applyAlignment="1">
      <alignment horizontal="right" vertical="center" indent="1"/>
    </xf>
    <xf numFmtId="9" fontId="0" fillId="4" borderId="14" xfId="0" applyNumberFormat="1" applyFill="1" applyBorder="1" applyAlignment="1">
      <alignment horizontal="right" vertical="center" indent="1"/>
    </xf>
    <xf numFmtId="9" fontId="2" fillId="0" borderId="11" xfId="3" applyNumberFormat="1" applyFont="1" applyFill="1" applyBorder="1" applyAlignment="1">
      <alignment horizontal="right" vertical="center" indent="1"/>
    </xf>
    <xf numFmtId="9" fontId="2" fillId="0" borderId="10" xfId="3" applyNumberFormat="1" applyFont="1" applyFill="1" applyBorder="1" applyAlignment="1">
      <alignment horizontal="right" vertical="center" indent="1"/>
    </xf>
    <xf numFmtId="4" fontId="2" fillId="23" borderId="11" xfId="0" applyNumberFormat="1" applyFont="1" applyFill="1" applyBorder="1" applyAlignment="1">
      <alignment horizontal="right" vertical="center" indent="1"/>
    </xf>
    <xf numFmtId="4" fontId="2" fillId="23" borderId="11" xfId="0" applyNumberFormat="1" applyFont="1" applyFill="1" applyBorder="1" applyAlignment="1" applyProtection="1">
      <alignment horizontal="right" vertical="center" indent="1"/>
      <protection locked="0"/>
    </xf>
    <xf numFmtId="10" fontId="26" fillId="23" borderId="11" xfId="0" applyNumberFormat="1" applyFont="1" applyFill="1" applyBorder="1" applyAlignment="1">
      <alignment horizontal="right" vertical="center"/>
    </xf>
    <xf numFmtId="4" fontId="2" fillId="23" borderId="10" xfId="0" applyNumberFormat="1" applyFont="1" applyFill="1" applyBorder="1" applyAlignment="1">
      <alignment horizontal="right" vertical="center" indent="1"/>
    </xf>
    <xf numFmtId="4" fontId="2" fillId="23" borderId="10" xfId="0" applyNumberFormat="1" applyFont="1" applyFill="1" applyBorder="1" applyAlignment="1" applyProtection="1">
      <alignment horizontal="right" vertical="center" indent="1"/>
      <protection locked="0"/>
    </xf>
    <xf numFmtId="10" fontId="26" fillId="23" borderId="10" xfId="0" applyNumberFormat="1" applyFont="1" applyFill="1" applyBorder="1" applyAlignment="1">
      <alignment horizontal="right" vertical="center"/>
    </xf>
    <xf numFmtId="4" fontId="2" fillId="23" borderId="13" xfId="0" applyNumberFormat="1" applyFont="1" applyFill="1" applyBorder="1" applyAlignment="1">
      <alignment horizontal="right" vertical="center" indent="1"/>
    </xf>
    <xf numFmtId="4" fontId="2" fillId="23" borderId="13" xfId="0" applyNumberFormat="1" applyFont="1" applyFill="1" applyBorder="1" applyAlignment="1" applyProtection="1">
      <alignment horizontal="right" vertical="center" indent="1"/>
      <protection locked="0"/>
    </xf>
    <xf numFmtId="10" fontId="26" fillId="23" borderId="13" xfId="0" applyNumberFormat="1" applyFont="1" applyFill="1" applyBorder="1" applyAlignment="1">
      <alignment horizontal="right" vertical="center"/>
    </xf>
    <xf numFmtId="4" fontId="21" fillId="23" borderId="13" xfId="0" applyNumberFormat="1" applyFont="1" applyFill="1" applyBorder="1" applyAlignment="1" applyProtection="1">
      <alignment horizontal="right" vertical="center" indent="1"/>
      <protection locked="0"/>
    </xf>
    <xf numFmtId="4" fontId="21" fillId="23" borderId="11" xfId="0" applyNumberFormat="1" applyFont="1" applyFill="1" applyBorder="1" applyAlignment="1" applyProtection="1">
      <alignment horizontal="right" vertical="center" indent="1"/>
      <protection locked="0"/>
    </xf>
    <xf numFmtId="4" fontId="21" fillId="23" borderId="10" xfId="0" applyNumberFormat="1" applyFont="1" applyFill="1" applyBorder="1" applyAlignment="1">
      <alignment horizontal="right" vertical="center" indent="1"/>
    </xf>
    <xf numFmtId="171" fontId="21" fillId="23" borderId="10" xfId="0" applyNumberFormat="1" applyFont="1" applyFill="1" applyBorder="1" applyAlignment="1" applyProtection="1">
      <alignment horizontal="right" vertical="center" indent="1"/>
      <protection locked="0"/>
    </xf>
    <xf numFmtId="10" fontId="26" fillId="23" borderId="10" xfId="3" applyNumberFormat="1" applyFont="1" applyFill="1" applyBorder="1" applyAlignment="1" applyProtection="1">
      <alignment horizontal="right" vertical="center"/>
      <protection locked="0"/>
    </xf>
    <xf numFmtId="0" fontId="30" fillId="0" borderId="0" xfId="8" applyFont="1" applyAlignment="1">
      <alignment horizontal="center" vertical="center"/>
    </xf>
    <xf numFmtId="3" fontId="30" fillId="0" borderId="0" xfId="8" applyNumberFormat="1" applyFont="1" applyAlignment="1">
      <alignment vertical="center"/>
    </xf>
    <xf numFmtId="2" fontId="30" fillId="0" borderId="0" xfId="8" applyNumberFormat="1" applyFont="1" applyAlignment="1">
      <alignment vertical="center"/>
    </xf>
    <xf numFmtId="1" fontId="30" fillId="0" borderId="0" xfId="8" applyNumberFormat="1" applyFont="1" applyAlignment="1">
      <alignment horizontal="center" vertical="center"/>
    </xf>
    <xf numFmtId="0" fontId="2" fillId="0" borderId="0" xfId="3" applyNumberFormat="1" applyFont="1" applyFill="1" applyAlignment="1">
      <alignment vertical="center"/>
    </xf>
    <xf numFmtId="0" fontId="49" fillId="19" borderId="6" xfId="2" applyFont="1" applyFill="1" applyBorder="1" applyAlignment="1">
      <alignment horizontal="left" vertical="center"/>
    </xf>
    <xf numFmtId="0" fontId="49" fillId="19" borderId="7" xfId="2" applyFont="1" applyFill="1" applyBorder="1" applyAlignment="1">
      <alignment vertical="center"/>
    </xf>
    <xf numFmtId="0" fontId="22" fillId="2" borderId="7" xfId="4" applyFont="1" applyBorder="1" applyAlignment="1">
      <alignment horizontal="center" vertical="center" wrapText="1"/>
    </xf>
    <xf numFmtId="0" fontId="42" fillId="11" borderId="5" xfId="0" applyFont="1" applyFill="1" applyBorder="1" applyAlignment="1">
      <alignment horizontal="center" vertical="center"/>
    </xf>
    <xf numFmtId="0" fontId="42" fillId="11" borderId="5" xfId="0" applyFont="1" applyFill="1" applyBorder="1" applyAlignment="1">
      <alignment horizontal="right" vertical="center"/>
    </xf>
    <xf numFmtId="4" fontId="42" fillId="11" borderId="5" xfId="0" applyNumberFormat="1" applyFont="1" applyFill="1" applyBorder="1" applyAlignment="1">
      <alignment horizontal="right" vertical="center" indent="1"/>
    </xf>
    <xf numFmtId="10" fontId="50" fillId="3" borderId="0" xfId="5" applyNumberFormat="1" applyFont="1" applyBorder="1" applyAlignment="1">
      <alignment horizontal="center" vertical="center"/>
    </xf>
    <xf numFmtId="10" fontId="50" fillId="3" borderId="2" xfId="5" applyNumberFormat="1" applyFont="1" applyBorder="1" applyAlignment="1">
      <alignment horizontal="center" vertical="center"/>
    </xf>
    <xf numFmtId="0" fontId="22" fillId="2" borderId="7" xfId="4" applyFont="1" applyBorder="1" applyAlignment="1">
      <alignment horizontal="center" vertical="center" wrapText="1"/>
    </xf>
    <xf numFmtId="0" fontId="4" fillId="0" borderId="44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/>
    </xf>
    <xf numFmtId="166" fontId="29" fillId="0" borderId="10" xfId="6" applyNumberFormat="1" applyFill="1" applyBorder="1" applyAlignment="1">
      <alignment horizontal="right"/>
    </xf>
    <xf numFmtId="0" fontId="2" fillId="4" borderId="12" xfId="3" applyNumberFormat="1" applyFont="1" applyFill="1" applyBorder="1" applyAlignment="1">
      <alignment horizontal="right" vertical="center"/>
    </xf>
    <xf numFmtId="0" fontId="52" fillId="19" borderId="1" xfId="2" applyFont="1" applyFill="1" applyBorder="1" applyAlignment="1">
      <alignment vertical="center"/>
    </xf>
    <xf numFmtId="3" fontId="52" fillId="19" borderId="0" xfId="11" applyNumberFormat="1" applyFont="1" applyFill="1" applyBorder="1" applyAlignment="1">
      <alignment horizontal="center" vertical="center"/>
    </xf>
    <xf numFmtId="3" fontId="52" fillId="19" borderId="0" xfId="11" applyNumberFormat="1" applyFont="1" applyFill="1" applyBorder="1" applyAlignment="1">
      <alignment horizontal="right" vertical="center"/>
    </xf>
    <xf numFmtId="0" fontId="52" fillId="19" borderId="0" xfId="2" applyFont="1" applyFill="1" applyBorder="1" applyAlignment="1">
      <alignment vertical="center"/>
    </xf>
    <xf numFmtId="4" fontId="52" fillId="19" borderId="3" xfId="2" applyNumberFormat="1" applyFont="1" applyFill="1" applyBorder="1" applyAlignment="1">
      <alignment vertical="center"/>
    </xf>
    <xf numFmtId="166" fontId="2" fillId="0" borderId="11" xfId="0" applyNumberFormat="1" applyFont="1" applyFill="1" applyBorder="1" applyAlignment="1" applyProtection="1">
      <alignment horizontal="right" vertical="center" indent="1"/>
      <protection locked="0"/>
    </xf>
    <xf numFmtId="166" fontId="0" fillId="0" borderId="11" xfId="3" applyNumberFormat="1" applyFont="1" applyFill="1" applyBorder="1" applyAlignment="1">
      <alignment horizontal="right" vertical="center" indent="1"/>
    </xf>
    <xf numFmtId="166" fontId="2" fillId="0" borderId="10" xfId="0" applyNumberFormat="1" applyFont="1" applyFill="1" applyBorder="1" applyAlignment="1" applyProtection="1">
      <alignment horizontal="right" vertical="center" indent="1"/>
      <protection locked="0"/>
    </xf>
    <xf numFmtId="166" fontId="26" fillId="0" borderId="11" xfId="0" applyNumberFormat="1" applyFont="1" applyFill="1" applyBorder="1" applyAlignment="1">
      <alignment horizontal="right" vertical="center" indent="1"/>
    </xf>
    <xf numFmtId="166" fontId="0" fillId="0" borderId="11" xfId="0" applyNumberFormat="1" applyFill="1" applyBorder="1" applyAlignment="1">
      <alignment horizontal="right" vertical="center" indent="1"/>
    </xf>
    <xf numFmtId="166" fontId="0" fillId="0" borderId="10" xfId="3" applyNumberFormat="1" applyFont="1" applyFill="1" applyBorder="1" applyAlignment="1">
      <alignment horizontal="right" vertical="center" indent="1"/>
    </xf>
    <xf numFmtId="166" fontId="2" fillId="0" borderId="10" xfId="0" applyNumberFormat="1" applyFont="1" applyFill="1" applyBorder="1" applyAlignment="1">
      <alignment horizontal="right" vertical="center" indent="1"/>
    </xf>
    <xf numFmtId="166" fontId="0" fillId="0" borderId="10" xfId="0" applyNumberFormat="1" applyFill="1" applyBorder="1" applyAlignment="1">
      <alignment horizontal="right" vertical="center" indent="1"/>
    </xf>
    <xf numFmtId="166" fontId="26" fillId="0" borderId="10" xfId="0" applyNumberFormat="1" applyFont="1" applyFill="1" applyBorder="1" applyAlignment="1" applyProtection="1">
      <alignment horizontal="right" vertical="center" indent="1"/>
      <protection locked="0"/>
    </xf>
    <xf numFmtId="166" fontId="2" fillId="0" borderId="13" xfId="0" applyNumberFormat="1" applyFont="1" applyFill="1" applyBorder="1" applyAlignment="1" applyProtection="1">
      <alignment horizontal="right" vertical="center" indent="1"/>
      <protection locked="0"/>
    </xf>
    <xf numFmtId="166" fontId="0" fillId="0" borderId="13" xfId="3" applyNumberFormat="1" applyFont="1" applyFill="1" applyBorder="1" applyAlignment="1">
      <alignment horizontal="right" vertical="center" indent="1"/>
    </xf>
    <xf numFmtId="166" fontId="2" fillId="0" borderId="13" xfId="0" applyNumberFormat="1" applyFont="1" applyFill="1" applyBorder="1" applyAlignment="1">
      <alignment horizontal="right" vertical="center" indent="1"/>
    </xf>
    <xf numFmtId="166" fontId="0" fillId="0" borderId="13" xfId="0" applyNumberFormat="1" applyFill="1" applyBorder="1" applyAlignment="1">
      <alignment horizontal="right" vertical="center" indent="1"/>
    </xf>
    <xf numFmtId="166" fontId="2" fillId="4" borderId="12" xfId="0" applyNumberFormat="1" applyFont="1" applyFill="1" applyBorder="1" applyAlignment="1">
      <alignment horizontal="right" vertical="center" indent="1"/>
    </xf>
    <xf numFmtId="166" fontId="26" fillId="4" borderId="12" xfId="0" applyNumberFormat="1" applyFont="1" applyFill="1" applyBorder="1" applyAlignment="1">
      <alignment horizontal="right" vertical="center" indent="1"/>
    </xf>
    <xf numFmtId="166" fontId="0" fillId="4" borderId="12" xfId="0" applyNumberFormat="1" applyFill="1" applyBorder="1" applyAlignment="1">
      <alignment horizontal="right" vertical="center" indent="1"/>
    </xf>
    <xf numFmtId="166" fontId="26" fillId="0" borderId="11" xfId="0" applyNumberFormat="1" applyFont="1" applyFill="1" applyBorder="1" applyAlignment="1" applyProtection="1">
      <alignment horizontal="right" vertical="center" indent="1"/>
      <protection locked="0"/>
    </xf>
    <xf numFmtId="166" fontId="2" fillId="0" borderId="11" xfId="0" applyNumberFormat="1" applyFont="1" applyFill="1" applyBorder="1" applyAlignment="1">
      <alignment horizontal="right" vertical="center" indent="1"/>
    </xf>
    <xf numFmtId="166" fontId="21" fillId="0" borderId="13" xfId="0" applyNumberFormat="1" applyFont="1" applyFill="1" applyBorder="1" applyAlignment="1" applyProtection="1">
      <alignment horizontal="right" vertical="center" indent="1"/>
      <protection locked="0"/>
    </xf>
    <xf numFmtId="166" fontId="26" fillId="0" borderId="13" xfId="0" applyNumberFormat="1" applyFont="1" applyFill="1" applyBorder="1" applyAlignment="1" applyProtection="1">
      <alignment horizontal="right" vertical="center" indent="1"/>
      <protection locked="0"/>
    </xf>
    <xf numFmtId="166" fontId="21" fillId="0" borderId="11" xfId="0" applyNumberFormat="1" applyFont="1" applyFill="1" applyBorder="1" applyAlignment="1" applyProtection="1">
      <alignment horizontal="right" vertical="center" indent="1"/>
      <protection locked="0"/>
    </xf>
    <xf numFmtId="166" fontId="0" fillId="0" borderId="12" xfId="3" applyNumberFormat="1" applyFont="1" applyFill="1" applyBorder="1" applyAlignment="1">
      <alignment horizontal="right" vertical="center" indent="1"/>
    </xf>
    <xf numFmtId="3" fontId="2" fillId="0" borderId="0" xfId="2" applyNumberFormat="1" applyFont="1" applyFill="1" applyAlignment="1">
      <alignment vertical="center"/>
    </xf>
    <xf numFmtId="0" fontId="30" fillId="5" borderId="0" xfId="8" applyFont="1" applyFill="1" applyAlignment="1" applyProtection="1">
      <alignment vertical="center"/>
      <protection locked="0"/>
    </xf>
    <xf numFmtId="10" fontId="30" fillId="5" borderId="0" xfId="3" applyNumberFormat="1" applyFont="1" applyFill="1" applyAlignment="1" applyProtection="1">
      <alignment horizontal="center" vertical="center"/>
      <protection locked="0"/>
    </xf>
    <xf numFmtId="3" fontId="30" fillId="5" borderId="0" xfId="8" applyNumberFormat="1" applyFont="1" applyFill="1" applyAlignment="1" applyProtection="1">
      <alignment horizontal="center" vertical="center"/>
      <protection locked="0"/>
    </xf>
    <xf numFmtId="10" fontId="42" fillId="11" borderId="5" xfId="3" applyNumberFormat="1" applyFont="1" applyFill="1" applyBorder="1" applyAlignment="1">
      <alignment horizontal="right" vertical="center" indent="2"/>
    </xf>
    <xf numFmtId="10" fontId="42" fillId="11" borderId="5" xfId="3" applyNumberFormat="1" applyFont="1" applyFill="1" applyBorder="1" applyAlignment="1">
      <alignment horizontal="right" vertical="center" wrapText="1" indent="2"/>
    </xf>
    <xf numFmtId="0" fontId="54" fillId="14" borderId="0" xfId="5" applyFont="1" applyFill="1" applyBorder="1" applyAlignment="1">
      <alignment horizontal="right" vertical="center" wrapText="1"/>
    </xf>
    <xf numFmtId="0" fontId="54" fillId="14" borderId="2" xfId="5" applyFont="1" applyFill="1" applyBorder="1" applyAlignment="1">
      <alignment horizontal="right" vertical="center" wrapText="1"/>
    </xf>
    <xf numFmtId="0" fontId="6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/>
    </xf>
    <xf numFmtId="0" fontId="4" fillId="0" borderId="44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right" vertical="center"/>
    </xf>
    <xf numFmtId="0" fontId="10" fillId="0" borderId="2" xfId="0" applyFont="1" applyFill="1" applyBorder="1" applyAlignment="1">
      <alignment vertical="center"/>
    </xf>
    <xf numFmtId="0" fontId="57" fillId="0" borderId="37" xfId="0" applyFont="1" applyFill="1" applyBorder="1" applyAlignment="1">
      <alignment horizontal="center" vertical="center"/>
    </xf>
    <xf numFmtId="0" fontId="3" fillId="0" borderId="12" xfId="0" applyFont="1" applyFill="1" applyBorder="1"/>
    <xf numFmtId="0" fontId="2" fillId="0" borderId="0" xfId="0" applyFont="1" applyFill="1" applyAlignment="1">
      <alignment horizontal="right"/>
    </xf>
    <xf numFmtId="0" fontId="57" fillId="0" borderId="41" xfId="0" applyFont="1" applyFill="1" applyBorder="1" applyAlignment="1">
      <alignment horizontal="center" vertical="center"/>
    </xf>
    <xf numFmtId="4" fontId="2" fillId="0" borderId="0" xfId="0" applyNumberFormat="1" applyFont="1" applyFill="1"/>
    <xf numFmtId="169" fontId="2" fillId="0" borderId="0" xfId="0" applyNumberFormat="1" applyFont="1" applyFill="1"/>
    <xf numFmtId="175" fontId="2" fillId="17" borderId="0" xfId="0" applyNumberFormat="1" applyFont="1" applyFill="1"/>
    <xf numFmtId="0" fontId="57" fillId="0" borderId="21" xfId="0" applyFont="1" applyFill="1" applyBorder="1" applyAlignment="1">
      <alignment horizontal="center" vertical="center"/>
    </xf>
    <xf numFmtId="4" fontId="2" fillId="17" borderId="0" xfId="0" applyNumberFormat="1" applyFont="1" applyFill="1" applyAlignment="1">
      <alignment horizontal="right"/>
    </xf>
    <xf numFmtId="4" fontId="2" fillId="17" borderId="0" xfId="0" applyNumberFormat="1" applyFont="1" applyFill="1"/>
    <xf numFmtId="169" fontId="2" fillId="17" borderId="0" xfId="0" applyNumberFormat="1" applyFont="1" applyFill="1"/>
    <xf numFmtId="0" fontId="2" fillId="17" borderId="0" xfId="0" applyFont="1" applyFill="1"/>
    <xf numFmtId="0" fontId="57" fillId="0" borderId="53" xfId="0" applyFont="1" applyFill="1" applyBorder="1" applyAlignment="1">
      <alignment horizontal="center" vertical="center"/>
    </xf>
    <xf numFmtId="4" fontId="2" fillId="0" borderId="0" xfId="0" applyNumberFormat="1" applyFont="1" applyFill="1" applyBorder="1"/>
    <xf numFmtId="0" fontId="2" fillId="17" borderId="0" xfId="0" applyFont="1" applyFill="1" applyAlignment="1">
      <alignment horizontal="right"/>
    </xf>
    <xf numFmtId="166" fontId="58" fillId="0" borderId="10" xfId="6" applyNumberFormat="1" applyFont="1" applyFill="1" applyBorder="1" applyAlignment="1">
      <alignment horizontal="right"/>
    </xf>
    <xf numFmtId="4" fontId="2" fillId="18" borderId="0" xfId="0" applyNumberFormat="1" applyFont="1" applyFill="1" applyAlignment="1">
      <alignment horizontal="right"/>
    </xf>
    <xf numFmtId="0" fontId="2" fillId="18" borderId="0" xfId="0" applyFont="1" applyFill="1" applyAlignment="1">
      <alignment horizontal="right"/>
    </xf>
    <xf numFmtId="4" fontId="2" fillId="18" borderId="0" xfId="0" applyNumberFormat="1" applyFont="1" applyFill="1"/>
    <xf numFmtId="0" fontId="2" fillId="18" borderId="0" xfId="0" applyFont="1" applyFill="1"/>
    <xf numFmtId="4" fontId="2" fillId="0" borderId="0" xfId="0" applyNumberFormat="1" applyFont="1" applyFill="1" applyAlignment="1">
      <alignment horizontal="left"/>
    </xf>
    <xf numFmtId="4" fontId="2" fillId="18" borderId="0" xfId="0" applyNumberFormat="1" applyFont="1" applyFill="1" applyAlignment="1">
      <alignment horizontal="left"/>
    </xf>
    <xf numFmtId="0" fontId="57" fillId="0" borderId="49" xfId="0" applyFont="1" applyFill="1" applyBorder="1" applyAlignment="1">
      <alignment horizontal="center" vertical="center"/>
    </xf>
    <xf numFmtId="166" fontId="2" fillId="0" borderId="0" xfId="11" applyFont="1" applyFill="1"/>
    <xf numFmtId="166" fontId="2" fillId="0" borderId="0" xfId="11" applyFont="1" applyFill="1" applyAlignment="1">
      <alignment horizontal="right"/>
    </xf>
    <xf numFmtId="166" fontId="2" fillId="0" borderId="0" xfId="11" applyFont="1" applyFill="1" applyBorder="1"/>
    <xf numFmtId="165" fontId="2" fillId="0" borderId="0" xfId="0" applyNumberFormat="1" applyFont="1" applyFill="1" applyBorder="1"/>
    <xf numFmtId="0" fontId="2" fillId="0" borderId="0" xfId="0" applyFont="1" applyFill="1" applyBorder="1" applyAlignment="1">
      <alignment horizontal="right"/>
    </xf>
    <xf numFmtId="164" fontId="2" fillId="0" borderId="0" xfId="0" applyNumberFormat="1" applyFont="1" applyFill="1" applyBorder="1"/>
    <xf numFmtId="10" fontId="2" fillId="0" borderId="0" xfId="13" applyNumberFormat="1" applyFont="1" applyFill="1" applyBorder="1"/>
    <xf numFmtId="175" fontId="2" fillId="0" borderId="0" xfId="0" applyNumberFormat="1" applyFont="1" applyFill="1" applyBorder="1"/>
    <xf numFmtId="4" fontId="2" fillId="0" borderId="0" xfId="0" applyNumberFormat="1" applyFont="1" applyFill="1" applyBorder="1" applyAlignment="1">
      <alignment horizontal="right"/>
    </xf>
    <xf numFmtId="165" fontId="2" fillId="0" borderId="0" xfId="0" applyNumberFormat="1" applyFont="1" applyFill="1" applyBorder="1" applyAlignment="1">
      <alignment horizontal="right"/>
    </xf>
    <xf numFmtId="2" fontId="2" fillId="0" borderId="0" xfId="0" applyNumberFormat="1" applyFont="1" applyFill="1" applyBorder="1"/>
    <xf numFmtId="166" fontId="2" fillId="0" borderId="0" xfId="0" applyNumberFormat="1" applyFont="1" applyFill="1" applyBorder="1"/>
    <xf numFmtId="166" fontId="2" fillId="0" borderId="0" xfId="0" applyNumberFormat="1" applyFont="1" applyFill="1"/>
    <xf numFmtId="14" fontId="2" fillId="0" borderId="0" xfId="0" applyNumberFormat="1" applyFont="1" applyFill="1"/>
    <xf numFmtId="43" fontId="2" fillId="0" borderId="0" xfId="0" applyNumberFormat="1" applyFont="1" applyFill="1"/>
    <xf numFmtId="0" fontId="2" fillId="0" borderId="0" xfId="0" applyFont="1" applyFill="1" applyAlignment="1">
      <alignment horizontal="center" readingOrder="1"/>
    </xf>
    <xf numFmtId="0" fontId="3" fillId="0" borderId="0" xfId="0" applyFont="1" applyFill="1" applyAlignment="1">
      <alignment horizontal="center" readingOrder="1"/>
    </xf>
    <xf numFmtId="166" fontId="58" fillId="7" borderId="10" xfId="6" applyNumberFormat="1" applyFont="1" applyBorder="1" applyAlignment="1">
      <alignment horizontal="right"/>
    </xf>
    <xf numFmtId="0" fontId="59" fillId="0" borderId="0" xfId="5" applyFont="1" applyFill="1" applyBorder="1" applyAlignment="1">
      <alignment horizontal="center" vertical="center"/>
    </xf>
    <xf numFmtId="0" fontId="60" fillId="0" borderId="0" xfId="2" applyFont="1" applyFill="1" applyAlignment="1">
      <alignment vertical="center"/>
    </xf>
    <xf numFmtId="4" fontId="51" fillId="0" borderId="0" xfId="0" applyNumberFormat="1" applyFont="1" applyFill="1" applyBorder="1" applyAlignment="1">
      <alignment horizontal="right" vertical="center" indent="1"/>
    </xf>
    <xf numFmtId="0" fontId="60" fillId="0" borderId="0" xfId="2" applyFont="1" applyFill="1" applyBorder="1" applyAlignment="1">
      <alignment vertical="center"/>
    </xf>
    <xf numFmtId="0" fontId="51" fillId="4" borderId="5" xfId="2" applyFont="1" applyFill="1" applyBorder="1" applyAlignment="1">
      <alignment vertical="center" wrapText="1"/>
    </xf>
    <xf numFmtId="0" fontId="51" fillId="4" borderId="5" xfId="2" applyFont="1" applyFill="1" applyBorder="1" applyAlignment="1">
      <alignment horizontal="center" vertical="center" wrapText="1"/>
    </xf>
    <xf numFmtId="0" fontId="61" fillId="0" borderId="11" xfId="2" applyFont="1" applyFill="1" applyBorder="1" applyAlignment="1">
      <alignment horizontal="center" vertical="center"/>
    </xf>
    <xf numFmtId="174" fontId="61" fillId="0" borderId="11" xfId="2" quotePrefix="1" applyNumberFormat="1" applyFont="1" applyFill="1" applyBorder="1" applyAlignment="1">
      <alignment horizontal="right" vertical="center" indent="1"/>
    </xf>
    <xf numFmtId="0" fontId="61" fillId="0" borderId="11" xfId="2" applyFont="1" applyFill="1" applyBorder="1" applyAlignment="1">
      <alignment vertical="center"/>
    </xf>
    <xf numFmtId="4" fontId="61" fillId="0" borderId="10" xfId="0" applyNumberFormat="1" applyFont="1" applyFill="1" applyBorder="1" applyAlignment="1">
      <alignment horizontal="right" vertical="center" indent="1"/>
    </xf>
    <xf numFmtId="2" fontId="61" fillId="0" borderId="10" xfId="0" applyNumberFormat="1" applyFont="1" applyBorder="1" applyAlignment="1">
      <alignment horizontal="right" vertical="center" indent="1"/>
    </xf>
    <xf numFmtId="10" fontId="61" fillId="0" borderId="10" xfId="3" applyNumberFormat="1" applyFont="1" applyBorder="1" applyAlignment="1">
      <alignment horizontal="right" vertical="center" indent="1"/>
    </xf>
    <xf numFmtId="0" fontId="61" fillId="0" borderId="10" xfId="2" applyFont="1" applyFill="1" applyBorder="1" applyAlignment="1">
      <alignment horizontal="center" vertical="center"/>
    </xf>
    <xf numFmtId="0" fontId="61" fillId="0" borderId="10" xfId="2" applyFont="1" applyFill="1" applyBorder="1" applyAlignment="1">
      <alignment horizontal="right" vertical="center" indent="1"/>
    </xf>
    <xf numFmtId="0" fontId="61" fillId="0" borderId="10" xfId="2" applyFont="1" applyFill="1" applyBorder="1" applyAlignment="1">
      <alignment vertical="center"/>
    </xf>
    <xf numFmtId="2" fontId="61" fillId="0" borderId="10" xfId="2" applyNumberFormat="1" applyFont="1" applyBorder="1" applyAlignment="1">
      <alignment vertical="center"/>
    </xf>
    <xf numFmtId="10" fontId="61" fillId="0" borderId="10" xfId="3" applyNumberFormat="1" applyFont="1" applyBorder="1" applyAlignment="1">
      <alignment vertical="center"/>
    </xf>
    <xf numFmtId="172" fontId="51" fillId="4" borderId="13" xfId="2" applyNumberFormat="1" applyFont="1" applyFill="1" applyBorder="1" applyAlignment="1">
      <alignment horizontal="center" vertical="center"/>
    </xf>
    <xf numFmtId="4" fontId="51" fillId="4" borderId="13" xfId="0" applyNumberFormat="1" applyFont="1" applyFill="1" applyBorder="1" applyAlignment="1">
      <alignment horizontal="right" vertical="center" indent="1"/>
    </xf>
    <xf numFmtId="2" fontId="51" fillId="4" borderId="13" xfId="0" applyNumberFormat="1" applyFont="1" applyFill="1" applyBorder="1" applyAlignment="1">
      <alignment horizontal="right" vertical="center" indent="1"/>
    </xf>
    <xf numFmtId="10" fontId="51" fillId="4" borderId="13" xfId="3" applyNumberFormat="1" applyFont="1" applyFill="1" applyBorder="1" applyAlignment="1">
      <alignment horizontal="right" vertical="center" indent="1"/>
    </xf>
    <xf numFmtId="166" fontId="60" fillId="0" borderId="0" xfId="11" applyFont="1" applyFill="1" applyAlignment="1">
      <alignment vertical="center"/>
    </xf>
    <xf numFmtId="4" fontId="62" fillId="0" borderId="0" xfId="2" applyNumberFormat="1" applyFont="1" applyFill="1" applyBorder="1" applyAlignment="1">
      <alignment horizontal="center" vertical="center"/>
    </xf>
    <xf numFmtId="4" fontId="62" fillId="0" borderId="3" xfId="2" applyNumberFormat="1" applyFont="1" applyFill="1" applyBorder="1" applyAlignment="1">
      <alignment vertical="center"/>
    </xf>
    <xf numFmtId="0" fontId="62" fillId="0" borderId="0" xfId="2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4" fontId="6" fillId="0" borderId="0" xfId="0" applyNumberFormat="1" applyFont="1" applyFill="1" applyAlignment="1">
      <alignment vertical="center"/>
    </xf>
    <xf numFmtId="4" fontId="6" fillId="0" borderId="0" xfId="0" applyNumberFormat="1" applyFont="1" applyFill="1" applyAlignment="1">
      <alignment horizontal="right" vertical="center"/>
    </xf>
    <xf numFmtId="0" fontId="16" fillId="0" borderId="12" xfId="0" applyFont="1" applyFill="1" applyBorder="1" applyAlignment="1">
      <alignment vertical="center"/>
    </xf>
    <xf numFmtId="0" fontId="2" fillId="0" borderId="12" xfId="0" applyFont="1" applyFill="1" applyBorder="1" applyAlignment="1">
      <alignment vertical="center"/>
    </xf>
    <xf numFmtId="4" fontId="2" fillId="0" borderId="12" xfId="0" applyNumberFormat="1" applyFont="1" applyFill="1" applyBorder="1" applyAlignment="1" applyProtection="1">
      <alignment vertical="center"/>
      <protection locked="0"/>
    </xf>
    <xf numFmtId="4" fontId="2" fillId="0" borderId="12" xfId="0" applyNumberFormat="1" applyFont="1" applyFill="1" applyBorder="1" applyAlignment="1">
      <alignment horizontal="right" vertical="center"/>
    </xf>
    <xf numFmtId="10" fontId="2" fillId="0" borderId="12" xfId="0" applyNumberFormat="1" applyFont="1" applyFill="1" applyBorder="1" applyAlignment="1">
      <alignment horizontal="right" vertical="center"/>
    </xf>
    <xf numFmtId="166" fontId="2" fillId="0" borderId="12" xfId="11" applyFont="1" applyFill="1" applyBorder="1" applyAlignment="1">
      <alignment horizontal="right" vertical="center"/>
    </xf>
    <xf numFmtId="166" fontId="2" fillId="0" borderId="38" xfId="11" applyFont="1" applyFill="1" applyBorder="1" applyAlignment="1">
      <alignment horizontal="right" vertical="center"/>
    </xf>
    <xf numFmtId="4" fontId="2" fillId="0" borderId="11" xfId="0" applyNumberFormat="1" applyFont="1" applyFill="1" applyBorder="1" applyAlignment="1" applyProtection="1">
      <alignment vertical="center"/>
      <protection locked="0"/>
    </xf>
    <xf numFmtId="4" fontId="2" fillId="0" borderId="6" xfId="2" applyNumberFormat="1" applyFont="1" applyFill="1" applyBorder="1" applyAlignment="1">
      <alignment vertical="center"/>
    </xf>
    <xf numFmtId="4" fontId="2" fillId="0" borderId="11" xfId="0" applyNumberFormat="1" applyFont="1" applyFill="1" applyBorder="1" applyAlignment="1">
      <alignment horizontal="right" vertical="center"/>
    </xf>
    <xf numFmtId="4" fontId="2" fillId="0" borderId="11" xfId="0" applyNumberFormat="1" applyFont="1" applyFill="1" applyBorder="1" applyAlignment="1" applyProtection="1">
      <alignment horizontal="right" vertical="center"/>
      <protection locked="0"/>
    </xf>
    <xf numFmtId="10" fontId="19" fillId="0" borderId="11" xfId="0" applyNumberFormat="1" applyFont="1" applyFill="1" applyBorder="1" applyAlignment="1">
      <alignment horizontal="right" vertical="center"/>
    </xf>
    <xf numFmtId="166" fontId="2" fillId="0" borderId="11" xfId="11" applyFont="1" applyFill="1" applyBorder="1" applyAlignment="1">
      <alignment horizontal="right" vertical="center"/>
    </xf>
    <xf numFmtId="166" fontId="2" fillId="0" borderId="11" xfId="11" applyNumberFormat="1" applyFont="1" applyFill="1" applyBorder="1" applyAlignment="1">
      <alignment horizontal="right" vertical="center"/>
    </xf>
    <xf numFmtId="166" fontId="32" fillId="0" borderId="11" xfId="11" applyFont="1" applyFill="1" applyBorder="1" applyAlignment="1">
      <alignment horizontal="right" vertical="center"/>
    </xf>
    <xf numFmtId="169" fontId="0" fillId="0" borderId="0" xfId="0" applyNumberFormat="1" applyFill="1" applyAlignment="1">
      <alignment vertical="center"/>
    </xf>
    <xf numFmtId="175" fontId="0" fillId="17" borderId="0" xfId="0" applyNumberFormat="1" applyFill="1" applyAlignment="1">
      <alignment vertical="center"/>
    </xf>
    <xf numFmtId="4" fontId="2" fillId="0" borderId="10" xfId="0" applyNumberFormat="1" applyFont="1" applyFill="1" applyBorder="1" applyAlignment="1" applyProtection="1">
      <alignment vertical="center"/>
      <protection locked="0"/>
    </xf>
    <xf numFmtId="4" fontId="2" fillId="0" borderId="1" xfId="2" applyNumberFormat="1" applyFont="1" applyFill="1" applyBorder="1" applyAlignment="1">
      <alignment vertical="center"/>
    </xf>
    <xf numFmtId="4" fontId="2" fillId="0" borderId="10" xfId="0" applyNumberFormat="1" applyFont="1" applyFill="1" applyBorder="1" applyAlignment="1">
      <alignment horizontal="right" vertical="center"/>
    </xf>
    <xf numFmtId="4" fontId="2" fillId="0" borderId="10" xfId="0" applyNumberFormat="1" applyFont="1" applyFill="1" applyBorder="1" applyAlignment="1" applyProtection="1">
      <alignment horizontal="right" vertical="center"/>
      <protection locked="0"/>
    </xf>
    <xf numFmtId="10" fontId="2" fillId="0" borderId="10" xfId="0" applyNumberFormat="1" applyFont="1" applyFill="1" applyBorder="1" applyAlignment="1">
      <alignment horizontal="right" vertical="center"/>
    </xf>
    <xf numFmtId="166" fontId="2" fillId="0" borderId="10" xfId="11" applyNumberFormat="1" applyFont="1" applyFill="1" applyBorder="1" applyAlignment="1">
      <alignment horizontal="right" vertical="center"/>
    </xf>
    <xf numFmtId="166" fontId="2" fillId="0" borderId="10" xfId="11" applyFont="1" applyFill="1" applyBorder="1" applyAlignment="1">
      <alignment horizontal="right" vertical="center"/>
    </xf>
    <xf numFmtId="166" fontId="32" fillId="0" borderId="10" xfId="11" applyFont="1" applyFill="1" applyBorder="1" applyAlignment="1">
      <alignment horizontal="right" vertical="center"/>
    </xf>
    <xf numFmtId="4" fontId="0" fillId="17" borderId="0" xfId="0" applyNumberFormat="1" applyFill="1" applyAlignment="1">
      <alignment horizontal="right" vertical="center"/>
    </xf>
    <xf numFmtId="4" fontId="0" fillId="17" borderId="0" xfId="0" applyNumberFormat="1" applyFill="1" applyAlignment="1">
      <alignment vertical="center"/>
    </xf>
    <xf numFmtId="169" fontId="0" fillId="17" borderId="0" xfId="0" applyNumberFormat="1" applyFill="1" applyAlignment="1">
      <alignment vertical="center"/>
    </xf>
    <xf numFmtId="0" fontId="0" fillId="17" borderId="0" xfId="0" applyFill="1" applyAlignment="1">
      <alignment vertical="center"/>
    </xf>
    <xf numFmtId="166" fontId="26" fillId="0" borderId="10" xfId="11" applyFont="1" applyFill="1" applyBorder="1" applyAlignment="1">
      <alignment horizontal="right" vertical="center"/>
    </xf>
    <xf numFmtId="166" fontId="26" fillId="0" borderId="10" xfId="11" applyNumberFormat="1" applyFont="1" applyFill="1" applyBorder="1" applyAlignment="1">
      <alignment horizontal="right" vertical="center"/>
    </xf>
    <xf numFmtId="4" fontId="2" fillId="0" borderId="13" xfId="0" applyNumberFormat="1" applyFont="1" applyFill="1" applyBorder="1" applyAlignment="1" applyProtection="1">
      <alignment vertical="center"/>
      <protection locked="0"/>
    </xf>
    <xf numFmtId="4" fontId="2" fillId="0" borderId="13" xfId="2" applyNumberFormat="1" applyFont="1" applyFill="1" applyBorder="1" applyAlignment="1">
      <alignment vertical="center"/>
    </xf>
    <xf numFmtId="4" fontId="2" fillId="0" borderId="13" xfId="0" applyNumberFormat="1" applyFont="1" applyFill="1" applyBorder="1" applyAlignment="1">
      <alignment horizontal="right" vertical="center"/>
    </xf>
    <xf numFmtId="4" fontId="2" fillId="0" borderId="13" xfId="0" applyNumberFormat="1" applyFont="1" applyFill="1" applyBorder="1" applyAlignment="1" applyProtection="1">
      <alignment horizontal="right" vertical="center"/>
      <protection locked="0"/>
    </xf>
    <xf numFmtId="10" fontId="2" fillId="0" borderId="13" xfId="0" applyNumberFormat="1" applyFont="1" applyFill="1" applyBorder="1" applyAlignment="1">
      <alignment horizontal="right" vertical="center"/>
    </xf>
    <xf numFmtId="4" fontId="26" fillId="0" borderId="13" xfId="0" applyNumberFormat="1" applyFont="1" applyFill="1" applyBorder="1" applyAlignment="1">
      <alignment horizontal="right" vertical="center"/>
    </xf>
    <xf numFmtId="166" fontId="26" fillId="0" borderId="13" xfId="11" applyNumberFormat="1" applyFont="1" applyFill="1" applyBorder="1" applyAlignment="1">
      <alignment horizontal="right" vertical="center"/>
    </xf>
    <xf numFmtId="166" fontId="26" fillId="0" borderId="13" xfId="11" applyFont="1" applyFill="1" applyBorder="1" applyAlignment="1">
      <alignment horizontal="right" vertical="center"/>
    </xf>
    <xf numFmtId="166" fontId="2" fillId="0" borderId="13" xfId="11" applyFont="1" applyFill="1" applyBorder="1" applyAlignment="1">
      <alignment horizontal="right" vertical="center"/>
    </xf>
    <xf numFmtId="166" fontId="32" fillId="0" borderId="13" xfId="11" applyFont="1" applyFill="1" applyBorder="1" applyAlignment="1">
      <alignment horizontal="right" vertical="center"/>
    </xf>
    <xf numFmtId="0" fontId="3" fillId="0" borderId="12" xfId="0" applyFont="1" applyFill="1" applyBorder="1" applyAlignment="1">
      <alignment vertical="center"/>
    </xf>
    <xf numFmtId="4" fontId="2" fillId="0" borderId="12" xfId="0" applyNumberFormat="1" applyFont="1" applyFill="1" applyBorder="1" applyAlignment="1" applyProtection="1">
      <alignment horizontal="right" vertical="center"/>
      <protection locked="0"/>
    </xf>
    <xf numFmtId="166" fontId="26" fillId="0" borderId="12" xfId="11" applyNumberFormat="1" applyFont="1" applyFill="1" applyBorder="1" applyAlignment="1">
      <alignment horizontal="right" vertical="center"/>
    </xf>
    <xf numFmtId="166" fontId="26" fillId="0" borderId="12" xfId="11" applyFont="1" applyFill="1" applyBorder="1" applyAlignment="1">
      <alignment horizontal="right" vertical="center"/>
    </xf>
    <xf numFmtId="10" fontId="2" fillId="0" borderId="11" xfId="0" applyNumberFormat="1" applyFont="1" applyFill="1" applyBorder="1" applyAlignment="1">
      <alignment horizontal="right" vertical="center"/>
    </xf>
    <xf numFmtId="166" fontId="26" fillId="0" borderId="11" xfId="11" applyNumberFormat="1" applyFont="1" applyFill="1" applyBorder="1" applyAlignment="1">
      <alignment horizontal="right" vertical="center"/>
    </xf>
    <xf numFmtId="166" fontId="26" fillId="0" borderId="11" xfId="11" applyFont="1" applyFill="1" applyBorder="1" applyAlignment="1">
      <alignment horizontal="right" vertical="center"/>
    </xf>
    <xf numFmtId="4" fontId="2" fillId="0" borderId="0" xfId="0" applyNumberFormat="1" applyFont="1" applyFill="1" applyAlignment="1">
      <alignment horizontal="right" vertical="center"/>
    </xf>
    <xf numFmtId="4" fontId="2" fillId="0" borderId="7" xfId="2" applyNumberFormat="1" applyFont="1" applyFill="1" applyBorder="1" applyAlignment="1">
      <alignment vertical="center"/>
    </xf>
    <xf numFmtId="168" fontId="26" fillId="0" borderId="12" xfId="0" applyNumberFormat="1" applyFont="1" applyFill="1" applyBorder="1" applyAlignment="1" applyProtection="1">
      <alignment horizontal="right" vertical="center"/>
      <protection locked="0"/>
    </xf>
    <xf numFmtId="4" fontId="26" fillId="0" borderId="11" xfId="0" applyNumberFormat="1" applyFont="1" applyFill="1" applyBorder="1" applyAlignment="1" applyProtection="1">
      <alignment horizontal="right" vertical="center"/>
      <protection locked="0"/>
    </xf>
    <xf numFmtId="4" fontId="26" fillId="0" borderId="10" xfId="0" applyNumberFormat="1" applyFont="1" applyFill="1" applyBorder="1" applyAlignment="1" applyProtection="1">
      <alignment horizontal="right" vertical="center"/>
      <protection locked="0"/>
    </xf>
    <xf numFmtId="0" fontId="0" fillId="17" borderId="0" xfId="0" applyFill="1" applyAlignment="1">
      <alignment horizontal="right" vertical="center"/>
    </xf>
    <xf numFmtId="166" fontId="29" fillId="0" borderId="10" xfId="6" applyNumberFormat="1" applyFill="1" applyBorder="1" applyAlignment="1">
      <alignment horizontal="right" vertical="center"/>
    </xf>
    <xf numFmtId="4" fontId="0" fillId="18" borderId="0" xfId="0" applyNumberFormat="1" applyFill="1" applyAlignment="1">
      <alignment horizontal="right" vertical="center"/>
    </xf>
    <xf numFmtId="0" fontId="0" fillId="18" borderId="0" xfId="0" applyFill="1" applyAlignment="1">
      <alignment horizontal="right" vertical="center"/>
    </xf>
    <xf numFmtId="4" fontId="0" fillId="18" borderId="0" xfId="0" applyNumberFormat="1" applyFill="1" applyAlignment="1">
      <alignment vertical="center"/>
    </xf>
    <xf numFmtId="0" fontId="0" fillId="18" borderId="0" xfId="0" applyFill="1" applyAlignment="1">
      <alignment vertical="center"/>
    </xf>
    <xf numFmtId="168" fontId="2" fillId="0" borderId="10" xfId="0" applyNumberFormat="1" applyFont="1" applyFill="1" applyBorder="1" applyAlignment="1" applyProtection="1">
      <alignment horizontal="right" vertical="center"/>
      <protection locked="0"/>
    </xf>
    <xf numFmtId="4" fontId="0" fillId="0" borderId="0" xfId="0" applyNumberFormat="1" applyFill="1" applyAlignment="1">
      <alignment horizontal="left" vertical="center"/>
    </xf>
    <xf numFmtId="171" fontId="2" fillId="0" borderId="10" xfId="0" applyNumberFormat="1" applyFont="1" applyFill="1" applyBorder="1" applyAlignment="1" applyProtection="1">
      <alignment horizontal="right" vertical="center"/>
      <protection locked="0"/>
    </xf>
    <xf numFmtId="4" fontId="0" fillId="18" borderId="0" xfId="0" applyNumberFormat="1" applyFill="1" applyAlignment="1">
      <alignment horizontal="left" vertical="center"/>
    </xf>
    <xf numFmtId="168" fontId="2" fillId="0" borderId="13" xfId="0" applyNumberFormat="1" applyFont="1" applyFill="1" applyBorder="1" applyAlignment="1" applyProtection="1">
      <alignment horizontal="right" vertical="center"/>
      <protection locked="0"/>
    </xf>
    <xf numFmtId="166" fontId="2" fillId="0" borderId="13" xfId="11" applyNumberFormat="1" applyFont="1" applyFill="1" applyBorder="1" applyAlignment="1">
      <alignment horizontal="right" vertical="center"/>
    </xf>
    <xf numFmtId="168" fontId="2" fillId="0" borderId="12" xfId="0" applyNumberFormat="1" applyFont="1" applyFill="1" applyBorder="1" applyAlignment="1" applyProtection="1">
      <alignment horizontal="right" vertical="center"/>
      <protection locked="0"/>
    </xf>
    <xf numFmtId="166" fontId="2" fillId="0" borderId="12" xfId="11" applyNumberFormat="1" applyFont="1" applyFill="1" applyBorder="1" applyAlignment="1">
      <alignment horizontal="right" vertical="center"/>
    </xf>
    <xf numFmtId="4" fontId="2" fillId="0" borderId="39" xfId="2" applyNumberFormat="1" applyFont="1" applyFill="1" applyBorder="1" applyAlignment="1">
      <alignment vertical="center"/>
    </xf>
    <xf numFmtId="4" fontId="2" fillId="0" borderId="12" xfId="0" applyNumberFormat="1" applyFont="1" applyFill="1" applyBorder="1" applyAlignment="1">
      <alignment vertical="center"/>
    </xf>
    <xf numFmtId="4" fontId="2" fillId="0" borderId="11" xfId="2" applyNumberFormat="1" applyFont="1" applyFill="1" applyBorder="1" applyAlignment="1">
      <alignment vertical="center"/>
    </xf>
    <xf numFmtId="168" fontId="2" fillId="0" borderId="11" xfId="0" applyNumberFormat="1" applyFont="1" applyFill="1" applyBorder="1" applyAlignment="1" applyProtection="1">
      <alignment horizontal="right" vertical="center"/>
      <protection locked="0"/>
    </xf>
    <xf numFmtId="4" fontId="2" fillId="0" borderId="10" xfId="2" applyNumberFormat="1" applyFont="1" applyFill="1" applyBorder="1" applyAlignment="1">
      <alignment vertical="center"/>
    </xf>
    <xf numFmtId="168" fontId="2" fillId="0" borderId="12" xfId="0" applyNumberFormat="1" applyFont="1" applyFill="1" applyBorder="1" applyAlignment="1">
      <alignment horizontal="right" vertical="center"/>
    </xf>
    <xf numFmtId="166" fontId="32" fillId="0" borderId="14" xfId="11" applyFont="1" applyFill="1" applyBorder="1" applyAlignment="1">
      <alignment horizontal="right"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 applyProtection="1">
      <alignment horizontal="right" vertical="center"/>
      <protection locked="0"/>
    </xf>
    <xf numFmtId="166" fontId="3" fillId="0" borderId="5" xfId="11" applyNumberFormat="1" applyFont="1" applyFill="1" applyBorder="1" applyAlignment="1">
      <alignment horizontal="right" vertical="center"/>
    </xf>
    <xf numFmtId="166" fontId="0" fillId="0" borderId="0" xfId="11" applyFont="1" applyFill="1" applyAlignment="1">
      <alignment vertical="center"/>
    </xf>
    <xf numFmtId="166" fontId="0" fillId="0" borderId="0" xfId="11" applyFont="1" applyFill="1" applyAlignment="1">
      <alignment horizontal="right" vertical="center"/>
    </xf>
    <xf numFmtId="166" fontId="0" fillId="0" borderId="0" xfId="11" applyFont="1" applyFill="1" applyBorder="1" applyAlignment="1">
      <alignment vertical="center"/>
    </xf>
    <xf numFmtId="164" fontId="0" fillId="0" borderId="0" xfId="0" applyNumberFormat="1" applyFill="1" applyBorder="1" applyAlignment="1">
      <alignment vertical="center"/>
    </xf>
    <xf numFmtId="10" fontId="0" fillId="0" borderId="0" xfId="13" applyNumberFormat="1" applyFont="1" applyFill="1" applyBorder="1" applyAlignment="1">
      <alignment vertical="center"/>
    </xf>
    <xf numFmtId="175" fontId="0" fillId="0" borderId="0" xfId="0" applyNumberFormat="1" applyFill="1" applyBorder="1" applyAlignment="1">
      <alignment vertical="center"/>
    </xf>
    <xf numFmtId="2" fontId="3" fillId="0" borderId="0" xfId="0" applyNumberFormat="1" applyFont="1" applyFill="1" applyBorder="1" applyAlignment="1">
      <alignment vertical="center"/>
    </xf>
    <xf numFmtId="49" fontId="3" fillId="0" borderId="0" xfId="0" applyNumberFormat="1" applyFont="1" applyFill="1" applyBorder="1" applyAlignment="1">
      <alignment vertical="center"/>
    </xf>
    <xf numFmtId="166" fontId="3" fillId="0" borderId="0" xfId="11" applyFont="1" applyFill="1" applyBorder="1" applyAlignment="1">
      <alignment vertical="center"/>
    </xf>
    <xf numFmtId="165" fontId="0" fillId="0" borderId="0" xfId="0" applyNumberFormat="1" applyFill="1" applyBorder="1" applyAlignment="1">
      <alignment horizontal="right" vertical="center"/>
    </xf>
    <xf numFmtId="0" fontId="5" fillId="0" borderId="0" xfId="0" applyFont="1" applyFill="1" applyBorder="1" applyAlignment="1">
      <alignment vertical="center"/>
    </xf>
    <xf numFmtId="0" fontId="14" fillId="0" borderId="0" xfId="0" applyFont="1" applyFill="1" applyAlignment="1">
      <alignment horizontal="center" vertical="center" readingOrder="1"/>
    </xf>
    <xf numFmtId="0" fontId="15" fillId="0" borderId="0" xfId="0" applyFont="1" applyFill="1" applyAlignment="1">
      <alignment horizontal="center" vertical="center" readingOrder="1"/>
    </xf>
    <xf numFmtId="0" fontId="63" fillId="0" borderId="0" xfId="2" applyFont="1" applyFill="1" applyBorder="1" applyAlignment="1">
      <alignment vertical="center"/>
    </xf>
    <xf numFmtId="0" fontId="63" fillId="0" borderId="0" xfId="2" applyFont="1" applyFill="1" applyAlignment="1">
      <alignment vertical="center"/>
    </xf>
    <xf numFmtId="4" fontId="64" fillId="0" borderId="0" xfId="0" applyNumberFormat="1" applyFont="1" applyFill="1" applyBorder="1" applyAlignment="1">
      <alignment horizontal="right" vertical="center" indent="1"/>
    </xf>
    <xf numFmtId="166" fontId="63" fillId="4" borderId="0" xfId="11" applyFont="1" applyFill="1" applyAlignment="1">
      <alignment vertical="center"/>
    </xf>
    <xf numFmtId="0" fontId="63" fillId="4" borderId="0" xfId="2" applyFont="1" applyFill="1" applyAlignment="1">
      <alignment vertical="center"/>
    </xf>
    <xf numFmtId="166" fontId="64" fillId="4" borderId="0" xfId="11" applyFont="1" applyFill="1" applyAlignment="1">
      <alignment horizontal="center" vertical="center"/>
    </xf>
    <xf numFmtId="4" fontId="65" fillId="0" borderId="0" xfId="2" applyNumberFormat="1" applyFont="1" applyFill="1" applyAlignment="1">
      <alignment vertical="center"/>
    </xf>
    <xf numFmtId="0" fontId="65" fillId="0" borderId="0" xfId="2" applyFont="1" applyFill="1" applyAlignment="1">
      <alignment vertical="center"/>
    </xf>
    <xf numFmtId="0" fontId="68" fillId="0" borderId="6" xfId="2" applyFont="1" applyFill="1" applyBorder="1" applyAlignment="1">
      <alignment horizontal="right" vertical="center"/>
    </xf>
    <xf numFmtId="0" fontId="69" fillId="0" borderId="4" xfId="2" applyFont="1" applyFill="1" applyBorder="1" applyAlignment="1">
      <alignment vertical="center"/>
    </xf>
    <xf numFmtId="0" fontId="70" fillId="0" borderId="4" xfId="2" applyFont="1" applyFill="1" applyBorder="1" applyAlignment="1">
      <alignment vertical="center"/>
    </xf>
    <xf numFmtId="0" fontId="68" fillId="0" borderId="4" xfId="2" applyFont="1" applyFill="1" applyBorder="1" applyAlignment="1">
      <alignment horizontal="right" vertical="center"/>
    </xf>
    <xf numFmtId="0" fontId="68" fillId="0" borderId="1" xfId="2" applyFont="1" applyFill="1" applyBorder="1" applyAlignment="1">
      <alignment horizontal="right" vertical="center"/>
    </xf>
    <xf numFmtId="0" fontId="69" fillId="0" borderId="0" xfId="2" applyFont="1" applyFill="1" applyBorder="1" applyAlignment="1">
      <alignment vertical="center"/>
    </xf>
    <xf numFmtId="0" fontId="70" fillId="0" borderId="0" xfId="2" applyFont="1" applyFill="1" applyBorder="1" applyAlignment="1">
      <alignment vertical="center"/>
    </xf>
    <xf numFmtId="0" fontId="68" fillId="0" borderId="0" xfId="2" applyFont="1" applyFill="1" applyBorder="1" applyAlignment="1">
      <alignment horizontal="right" vertical="center"/>
    </xf>
    <xf numFmtId="0" fontId="68" fillId="0" borderId="7" xfId="2" applyFont="1" applyFill="1" applyBorder="1" applyAlignment="1">
      <alignment horizontal="right" vertical="center"/>
    </xf>
    <xf numFmtId="0" fontId="69" fillId="0" borderId="2" xfId="2" applyFont="1" applyFill="1" applyBorder="1" applyAlignment="1">
      <alignment vertical="center"/>
    </xf>
    <xf numFmtId="0" fontId="70" fillId="0" borderId="2" xfId="2" applyFont="1" applyFill="1" applyBorder="1" applyAlignment="1">
      <alignment vertical="center"/>
    </xf>
    <xf numFmtId="0" fontId="68" fillId="0" borderId="2" xfId="2" applyFont="1" applyFill="1" applyBorder="1" applyAlignment="1">
      <alignment horizontal="right" vertical="center"/>
    </xf>
    <xf numFmtId="0" fontId="71" fillId="0" borderId="6" xfId="2" applyFont="1" applyFill="1" applyBorder="1" applyAlignment="1">
      <alignment vertical="center"/>
    </xf>
    <xf numFmtId="0" fontId="71" fillId="0" borderId="4" xfId="2" applyFont="1" applyFill="1" applyBorder="1" applyAlignment="1">
      <alignment vertical="center"/>
    </xf>
    <xf numFmtId="0" fontId="72" fillId="0" borderId="4" xfId="2" applyFont="1" applyFill="1" applyBorder="1" applyAlignment="1">
      <alignment horizontal="right" vertical="center"/>
    </xf>
    <xf numFmtId="4" fontId="73" fillId="0" borderId="4" xfId="11" applyNumberFormat="1" applyFont="1" applyFill="1" applyBorder="1" applyAlignment="1">
      <alignment horizontal="right" vertical="center"/>
    </xf>
    <xf numFmtId="0" fontId="74" fillId="0" borderId="4" xfId="2" applyFont="1" applyFill="1" applyBorder="1" applyAlignment="1">
      <alignment vertical="center"/>
    </xf>
    <xf numFmtId="4" fontId="74" fillId="0" borderId="9" xfId="2" applyNumberFormat="1" applyFont="1" applyFill="1" applyBorder="1" applyAlignment="1">
      <alignment vertical="center"/>
    </xf>
    <xf numFmtId="0" fontId="71" fillId="0" borderId="1" xfId="2" applyFont="1" applyFill="1" applyBorder="1" applyAlignment="1">
      <alignment vertical="center"/>
    </xf>
    <xf numFmtId="0" fontId="71" fillId="0" borderId="0" xfId="2" applyFont="1" applyFill="1" applyBorder="1" applyAlignment="1">
      <alignment vertical="center"/>
    </xf>
    <xf numFmtId="0" fontId="72" fillId="0" borderId="0" xfId="2" applyFont="1" applyFill="1" applyBorder="1" applyAlignment="1">
      <alignment horizontal="right" vertical="center"/>
    </xf>
    <xf numFmtId="4" fontId="73" fillId="0" borderId="0" xfId="11" applyNumberFormat="1" applyFont="1" applyFill="1" applyBorder="1" applyAlignment="1">
      <alignment horizontal="right" vertical="center"/>
    </xf>
    <xf numFmtId="0" fontId="74" fillId="0" borderId="0" xfId="2" applyFont="1" applyFill="1" applyBorder="1" applyAlignment="1">
      <alignment vertical="center"/>
    </xf>
    <xf numFmtId="4" fontId="74" fillId="0" borderId="3" xfId="2" applyNumberFormat="1" applyFont="1" applyFill="1" applyBorder="1" applyAlignment="1">
      <alignment vertical="center"/>
    </xf>
    <xf numFmtId="0" fontId="75" fillId="0" borderId="1" xfId="2" applyFont="1" applyFill="1" applyBorder="1" applyAlignment="1">
      <alignment vertical="center"/>
    </xf>
    <xf numFmtId="0" fontId="75" fillId="0" borderId="0" xfId="2" applyFont="1" applyFill="1" applyBorder="1" applyAlignment="1">
      <alignment vertical="center"/>
    </xf>
    <xf numFmtId="0" fontId="75" fillId="0" borderId="0" xfId="2" applyFont="1" applyFill="1" applyBorder="1" applyAlignment="1">
      <alignment horizontal="right" vertical="center"/>
    </xf>
    <xf numFmtId="0" fontId="75" fillId="0" borderId="1" xfId="2" applyFont="1" applyFill="1" applyBorder="1" applyAlignment="1">
      <alignment horizontal="right" vertical="center"/>
    </xf>
    <xf numFmtId="176" fontId="73" fillId="0" borderId="0" xfId="11" applyNumberFormat="1" applyFont="1" applyFill="1" applyBorder="1" applyAlignment="1">
      <alignment horizontal="right" vertical="center"/>
    </xf>
    <xf numFmtId="0" fontId="72" fillId="0" borderId="11" xfId="0" applyFont="1" applyBorder="1" applyAlignment="1">
      <alignment horizontal="center" vertical="center" wrapText="1"/>
    </xf>
    <xf numFmtId="0" fontId="72" fillId="0" borderId="11" xfId="0" applyFont="1" applyBorder="1" applyAlignment="1">
      <alignment vertical="center"/>
    </xf>
    <xf numFmtId="4" fontId="72" fillId="0" borderId="11" xfId="0" applyNumberFormat="1" applyFont="1" applyFill="1" applyBorder="1" applyAlignment="1">
      <alignment horizontal="right" vertical="center" indent="1"/>
    </xf>
    <xf numFmtId="2" fontId="72" fillId="0" borderId="11" xfId="0" applyNumberFormat="1" applyFont="1" applyBorder="1" applyAlignment="1">
      <alignment horizontal="right" vertical="center" indent="2"/>
    </xf>
    <xf numFmtId="10" fontId="72" fillId="0" borderId="11" xfId="3" applyNumberFormat="1" applyFont="1" applyBorder="1" applyAlignment="1">
      <alignment horizontal="right" vertical="center" wrapText="1" indent="2"/>
    </xf>
    <xf numFmtId="0" fontId="72" fillId="0" borderId="10" xfId="0" applyFont="1" applyBorder="1" applyAlignment="1">
      <alignment horizontal="center" vertical="center"/>
    </xf>
    <xf numFmtId="4" fontId="72" fillId="0" borderId="10" xfId="0" applyNumberFormat="1" applyFont="1" applyFill="1" applyBorder="1" applyAlignment="1">
      <alignment horizontal="right" vertical="center" indent="1"/>
    </xf>
    <xf numFmtId="10" fontId="72" fillId="0" borderId="10" xfId="3" applyNumberFormat="1" applyFont="1" applyBorder="1" applyAlignment="1">
      <alignment horizontal="right" vertical="center" indent="2"/>
    </xf>
    <xf numFmtId="10" fontId="72" fillId="0" borderId="10" xfId="3" applyNumberFormat="1" applyFont="1" applyBorder="1" applyAlignment="1">
      <alignment horizontal="right" vertical="center" wrapText="1" indent="2"/>
    </xf>
    <xf numFmtId="0" fontId="72" fillId="0" borderId="13" xfId="0" applyFont="1" applyBorder="1" applyAlignment="1">
      <alignment horizontal="center" vertical="center"/>
    </xf>
    <xf numFmtId="0" fontId="2" fillId="0" borderId="0" xfId="2" applyFont="1" applyFill="1" applyBorder="1" applyAlignment="1">
      <alignment vertical="center"/>
    </xf>
    <xf numFmtId="0" fontId="77" fillId="0" borderId="0" xfId="2" applyFont="1" applyFill="1" applyBorder="1" applyAlignment="1">
      <alignment horizontal="right" vertical="center"/>
    </xf>
    <xf numFmtId="0" fontId="77" fillId="0" borderId="0" xfId="2" applyFont="1" applyFill="1" applyBorder="1" applyAlignment="1">
      <alignment vertical="center"/>
    </xf>
    <xf numFmtId="10" fontId="73" fillId="0" borderId="0" xfId="3" applyNumberFormat="1" applyFont="1" applyFill="1" applyBorder="1" applyAlignment="1">
      <alignment horizontal="right" vertical="center"/>
    </xf>
    <xf numFmtId="10" fontId="2" fillId="0" borderId="0" xfId="3" applyNumberFormat="1" applyFont="1" applyFill="1" applyBorder="1" applyAlignment="1">
      <alignment vertical="center"/>
    </xf>
    <xf numFmtId="4" fontId="73" fillId="0" borderId="0" xfId="11" applyNumberFormat="1" applyFont="1" applyFill="1" applyBorder="1" applyAlignment="1">
      <alignment horizontal="center" vertical="center"/>
    </xf>
    <xf numFmtId="0" fontId="77" fillId="16" borderId="0" xfId="2" applyFont="1" applyFill="1" applyBorder="1" applyAlignment="1">
      <alignment horizontal="center" vertical="center"/>
    </xf>
    <xf numFmtId="0" fontId="2" fillId="16" borderId="0" xfId="2" applyFont="1" applyFill="1" applyBorder="1" applyAlignment="1">
      <alignment vertical="center"/>
    </xf>
    <xf numFmtId="10" fontId="73" fillId="16" borderId="0" xfId="3" applyNumberFormat="1" applyFont="1" applyFill="1" applyBorder="1" applyAlignment="1">
      <alignment horizontal="right" vertical="center"/>
    </xf>
    <xf numFmtId="4" fontId="73" fillId="16" borderId="0" xfId="11" applyNumberFormat="1" applyFont="1" applyFill="1" applyBorder="1" applyAlignment="1">
      <alignment horizontal="right" vertical="center"/>
    </xf>
    <xf numFmtId="4" fontId="62" fillId="0" borderId="0" xfId="2" applyNumberFormat="1" applyFont="1" applyFill="1" applyBorder="1" applyAlignment="1">
      <alignment vertical="center"/>
    </xf>
    <xf numFmtId="1" fontId="77" fillId="0" borderId="0" xfId="2" applyNumberFormat="1" applyFont="1" applyFill="1" applyBorder="1" applyAlignment="1">
      <alignment horizontal="center" vertical="center"/>
    </xf>
    <xf numFmtId="10" fontId="2" fillId="0" borderId="0" xfId="2" applyNumberFormat="1" applyFont="1" applyFill="1" applyBorder="1" applyAlignment="1">
      <alignment vertical="center"/>
    </xf>
    <xf numFmtId="0" fontId="2" fillId="0" borderId="0" xfId="3" applyNumberFormat="1" applyFont="1" applyFill="1" applyBorder="1" applyAlignment="1">
      <alignment vertical="center"/>
    </xf>
    <xf numFmtId="0" fontId="77" fillId="16" borderId="0" xfId="2" applyFont="1" applyFill="1" applyBorder="1" applyAlignment="1">
      <alignment horizontal="right" vertical="center"/>
    </xf>
    <xf numFmtId="4" fontId="73" fillId="16" borderId="0" xfId="11" applyNumberFormat="1" applyFont="1" applyFill="1" applyBorder="1" applyAlignment="1">
      <alignment horizontal="center" vertical="center"/>
    </xf>
    <xf numFmtId="10" fontId="2" fillId="16" borderId="0" xfId="3" applyNumberFormat="1" applyFont="1" applyFill="1" applyBorder="1" applyAlignment="1">
      <alignment vertical="center"/>
    </xf>
    <xf numFmtId="0" fontId="77" fillId="16" borderId="0" xfId="2" applyFont="1" applyFill="1" applyBorder="1" applyAlignment="1">
      <alignment horizontal="center" vertical="center" wrapText="1"/>
    </xf>
    <xf numFmtId="0" fontId="2" fillId="24" borderId="0" xfId="2" applyFont="1" applyFill="1" applyAlignment="1">
      <alignment vertical="center"/>
    </xf>
    <xf numFmtId="0" fontId="10" fillId="24" borderId="0" xfId="2" applyFont="1" applyFill="1" applyAlignment="1">
      <alignment vertical="center"/>
    </xf>
    <xf numFmtId="0" fontId="10" fillId="0" borderId="0" xfId="2" applyFont="1" applyFill="1" applyBorder="1" applyAlignment="1">
      <alignment vertical="center"/>
    </xf>
    <xf numFmtId="0" fontId="49" fillId="24" borderId="0" xfId="2" applyFont="1" applyFill="1" applyBorder="1" applyAlignment="1">
      <alignment horizontal="left" vertical="center"/>
    </xf>
    <xf numFmtId="0" fontId="49" fillId="24" borderId="0" xfId="2" applyFont="1" applyFill="1" applyBorder="1" applyAlignment="1">
      <alignment vertical="center"/>
    </xf>
    <xf numFmtId="0" fontId="78" fillId="0" borderId="0" xfId="2" applyFont="1" applyFill="1" applyBorder="1" applyAlignment="1">
      <alignment horizontal="center" vertical="center"/>
    </xf>
    <xf numFmtId="0" fontId="80" fillId="0" borderId="0" xfId="2" applyFont="1" applyFill="1" applyBorder="1" applyAlignment="1">
      <alignment horizontal="center" vertical="center"/>
    </xf>
    <xf numFmtId="0" fontId="49" fillId="24" borderId="0" xfId="2" applyFont="1" applyFill="1" applyBorder="1" applyAlignment="1">
      <alignment horizontal="left" vertical="center"/>
    </xf>
    <xf numFmtId="0" fontId="66" fillId="0" borderId="6" xfId="2" applyFont="1" applyFill="1" applyBorder="1" applyAlignment="1">
      <alignment horizontal="center" vertical="center"/>
    </xf>
    <xf numFmtId="0" fontId="66" fillId="0" borderId="4" xfId="2" applyFont="1" applyFill="1" applyBorder="1" applyAlignment="1">
      <alignment horizontal="center" vertical="center"/>
    </xf>
    <xf numFmtId="0" fontId="66" fillId="0" borderId="9" xfId="2" applyFont="1" applyFill="1" applyBorder="1" applyAlignment="1">
      <alignment horizontal="center" vertical="center"/>
    </xf>
    <xf numFmtId="0" fontId="67" fillId="0" borderId="7" xfId="2" applyFont="1" applyFill="1" applyBorder="1" applyAlignment="1">
      <alignment horizontal="center" vertical="center"/>
    </xf>
    <xf numFmtId="0" fontId="67" fillId="0" borderId="2" xfId="2" applyFont="1" applyFill="1" applyBorder="1" applyAlignment="1">
      <alignment horizontal="center" vertical="center"/>
    </xf>
    <xf numFmtId="0" fontId="67" fillId="0" borderId="8" xfId="2" applyFont="1" applyFill="1" applyBorder="1" applyAlignment="1">
      <alignment horizontal="center" vertical="center"/>
    </xf>
    <xf numFmtId="0" fontId="49" fillId="19" borderId="4" xfId="2" applyFont="1" applyFill="1" applyBorder="1" applyAlignment="1">
      <alignment horizontal="left" vertical="center"/>
    </xf>
    <xf numFmtId="0" fontId="49" fillId="19" borderId="9" xfId="2" applyFont="1" applyFill="1" applyBorder="1" applyAlignment="1">
      <alignment horizontal="left" vertical="center"/>
    </xf>
    <xf numFmtId="0" fontId="49" fillId="19" borderId="2" xfId="2" applyFont="1" applyFill="1" applyBorder="1" applyAlignment="1">
      <alignment horizontal="left" vertical="center"/>
    </xf>
    <xf numFmtId="0" fontId="49" fillId="19" borderId="8" xfId="2" applyFont="1" applyFill="1" applyBorder="1" applyAlignment="1">
      <alignment horizontal="left" vertical="center"/>
    </xf>
    <xf numFmtId="0" fontId="42" fillId="11" borderId="11" xfId="0" applyFont="1" applyFill="1" applyBorder="1" applyAlignment="1">
      <alignment horizontal="center" vertical="center" wrapText="1"/>
    </xf>
    <xf numFmtId="0" fontId="42" fillId="11" borderId="13" xfId="0" applyFont="1" applyFill="1" applyBorder="1" applyAlignment="1">
      <alignment horizontal="center" vertical="center" wrapText="1"/>
    </xf>
    <xf numFmtId="0" fontId="63" fillId="4" borderId="0" xfId="2" applyFont="1" applyFill="1" applyAlignment="1">
      <alignment horizontal="center" vertical="center"/>
    </xf>
    <xf numFmtId="4" fontId="52" fillId="19" borderId="12" xfId="2" applyNumberFormat="1" applyFont="1" applyFill="1" applyBorder="1" applyAlignment="1">
      <alignment horizontal="center" vertical="center"/>
    </xf>
    <xf numFmtId="4" fontId="52" fillId="19" borderId="14" xfId="2" applyNumberFormat="1" applyFont="1" applyFill="1" applyBorder="1" applyAlignment="1">
      <alignment horizontal="center" vertical="center"/>
    </xf>
    <xf numFmtId="0" fontId="52" fillId="19" borderId="15" xfId="2" applyFont="1" applyFill="1" applyBorder="1" applyAlignment="1">
      <alignment horizontal="center" vertical="center"/>
    </xf>
    <xf numFmtId="0" fontId="52" fillId="19" borderId="12" xfId="2" applyFont="1" applyFill="1" applyBorder="1" applyAlignment="1">
      <alignment horizontal="center" vertical="center"/>
    </xf>
    <xf numFmtId="0" fontId="43" fillId="3" borderId="1" xfId="5" applyFont="1" applyBorder="1" applyAlignment="1">
      <alignment horizontal="center" vertical="center"/>
    </xf>
    <xf numFmtId="0" fontId="43" fillId="3" borderId="0" xfId="5" applyFont="1" applyBorder="1" applyAlignment="1">
      <alignment horizontal="center" vertical="center"/>
    </xf>
    <xf numFmtId="0" fontId="43" fillId="3" borderId="7" xfId="5" applyFont="1" applyBorder="1" applyAlignment="1">
      <alignment horizontal="center" vertical="center"/>
    </xf>
    <xf numFmtId="0" fontId="43" fillId="3" borderId="2" xfId="5" applyFont="1" applyBorder="1" applyAlignment="1">
      <alignment horizontal="center" vertical="center"/>
    </xf>
    <xf numFmtId="10" fontId="53" fillId="14" borderId="3" xfId="5" applyNumberFormat="1" applyFont="1" applyFill="1" applyBorder="1" applyAlignment="1">
      <alignment horizontal="center" vertical="center"/>
    </xf>
    <xf numFmtId="10" fontId="53" fillId="14" borderId="2" xfId="5" applyNumberFormat="1" applyFont="1" applyFill="1" applyBorder="1" applyAlignment="1">
      <alignment horizontal="center" vertical="center"/>
    </xf>
    <xf numFmtId="10" fontId="53" fillId="14" borderId="8" xfId="5" applyNumberFormat="1" applyFont="1" applyFill="1" applyBorder="1" applyAlignment="1">
      <alignment horizontal="center" vertical="center"/>
    </xf>
    <xf numFmtId="167" fontId="70" fillId="0" borderId="4" xfId="2" applyNumberFormat="1" applyFont="1" applyFill="1" applyBorder="1" applyAlignment="1">
      <alignment horizontal="left" vertical="center"/>
    </xf>
    <xf numFmtId="167" fontId="70" fillId="0" borderId="9" xfId="2" applyNumberFormat="1" applyFont="1" applyFill="1" applyBorder="1" applyAlignment="1">
      <alignment horizontal="left" vertical="center"/>
    </xf>
    <xf numFmtId="170" fontId="70" fillId="0" borderId="0" xfId="2" applyNumberFormat="1" applyFont="1" applyFill="1" applyBorder="1" applyAlignment="1">
      <alignment horizontal="left" vertical="center"/>
    </xf>
    <xf numFmtId="170" fontId="70" fillId="0" borderId="3" xfId="2" applyNumberFormat="1" applyFont="1" applyFill="1" applyBorder="1" applyAlignment="1">
      <alignment horizontal="left" vertical="center"/>
    </xf>
    <xf numFmtId="167" fontId="70" fillId="0" borderId="0" xfId="2" applyNumberFormat="1" applyFont="1" applyFill="1" applyBorder="1" applyAlignment="1">
      <alignment horizontal="left" vertical="center"/>
    </xf>
    <xf numFmtId="167" fontId="70" fillId="0" borderId="3" xfId="2" applyNumberFormat="1" applyFont="1" applyFill="1" applyBorder="1" applyAlignment="1">
      <alignment horizontal="left" vertical="center"/>
    </xf>
    <xf numFmtId="173" fontId="70" fillId="0" borderId="2" xfId="2" applyNumberFormat="1" applyFont="1" applyFill="1" applyBorder="1" applyAlignment="1">
      <alignment horizontal="left" vertical="center"/>
    </xf>
    <xf numFmtId="173" fontId="70" fillId="0" borderId="8" xfId="2" applyNumberFormat="1" applyFont="1" applyFill="1" applyBorder="1" applyAlignment="1">
      <alignment horizontal="left" vertical="center"/>
    </xf>
    <xf numFmtId="0" fontId="59" fillId="3" borderId="0" xfId="5" applyFont="1" applyAlignment="1">
      <alignment horizontal="center" vertical="center"/>
    </xf>
    <xf numFmtId="167" fontId="2" fillId="0" borderId="4" xfId="0" applyNumberFormat="1" applyFont="1" applyFill="1" applyBorder="1" applyAlignment="1">
      <alignment horizontal="left" vertical="center"/>
    </xf>
    <xf numFmtId="167" fontId="2" fillId="0" borderId="9" xfId="0" applyNumberFormat="1" applyFont="1" applyFill="1" applyBorder="1" applyAlignment="1">
      <alignment horizontal="left" vertical="center"/>
    </xf>
    <xf numFmtId="170" fontId="2" fillId="0" borderId="0" xfId="0" applyNumberFormat="1" applyFont="1" applyFill="1" applyBorder="1" applyAlignment="1">
      <alignment horizontal="left" vertical="center"/>
    </xf>
    <xf numFmtId="170" fontId="2" fillId="0" borderId="3" xfId="0" applyNumberFormat="1" applyFont="1" applyFill="1" applyBorder="1" applyAlignment="1">
      <alignment horizontal="left" vertical="center"/>
    </xf>
    <xf numFmtId="167" fontId="2" fillId="0" borderId="0" xfId="0" applyNumberFormat="1" applyFont="1" applyFill="1" applyBorder="1" applyAlignment="1">
      <alignment horizontal="left" vertical="center"/>
    </xf>
    <xf numFmtId="167" fontId="2" fillId="0" borderId="3" xfId="0" applyNumberFormat="1" applyFont="1" applyFill="1" applyBorder="1" applyAlignment="1">
      <alignment horizontal="left" vertical="center"/>
    </xf>
    <xf numFmtId="0" fontId="24" fillId="0" borderId="6" xfId="0" applyFont="1" applyFill="1" applyBorder="1" applyAlignment="1">
      <alignment horizontal="center" vertical="center"/>
    </xf>
    <xf numFmtId="0" fontId="24" fillId="0" borderId="4" xfId="0" applyFont="1" applyFill="1" applyBorder="1" applyAlignment="1">
      <alignment horizontal="center" vertical="center"/>
    </xf>
    <xf numFmtId="0" fontId="24" fillId="0" borderId="9" xfId="0" applyFont="1" applyFill="1" applyBorder="1" applyAlignment="1">
      <alignment horizontal="center" vertical="center"/>
    </xf>
    <xf numFmtId="0" fontId="23" fillId="0" borderId="7" xfId="0" applyFont="1" applyFill="1" applyBorder="1" applyAlignment="1">
      <alignment horizontal="center" vertical="center"/>
    </xf>
    <xf numFmtId="0" fontId="23" fillId="0" borderId="2" xfId="0" applyFont="1" applyFill="1" applyBorder="1" applyAlignment="1">
      <alignment horizontal="center" vertical="center"/>
    </xf>
    <xf numFmtId="0" fontId="23" fillId="0" borderId="8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right" vertical="center"/>
    </xf>
    <xf numFmtId="0" fontId="4" fillId="0" borderId="12" xfId="0" applyFont="1" applyFill="1" applyBorder="1" applyAlignment="1">
      <alignment horizontal="right" vertical="center"/>
    </xf>
    <xf numFmtId="49" fontId="4" fillId="0" borderId="12" xfId="0" applyNumberFormat="1" applyFont="1" applyFill="1" applyBorder="1" applyAlignment="1">
      <alignment horizontal="left" vertical="center"/>
    </xf>
    <xf numFmtId="49" fontId="4" fillId="0" borderId="14" xfId="0" applyNumberFormat="1" applyFont="1" applyFill="1" applyBorder="1" applyAlignment="1">
      <alignment horizontal="left" vertical="center"/>
    </xf>
    <xf numFmtId="0" fontId="4" fillId="0" borderId="12" xfId="0" applyFont="1" applyFill="1" applyBorder="1" applyAlignment="1">
      <alignment horizontal="left" vertical="center"/>
    </xf>
    <xf numFmtId="0" fontId="4" fillId="0" borderId="14" xfId="0" applyFont="1" applyFill="1" applyBorder="1" applyAlignment="1">
      <alignment horizontal="left" vertical="center"/>
    </xf>
    <xf numFmtId="0" fontId="42" fillId="11" borderId="15" xfId="4" applyFont="1" applyFill="1" applyBorder="1" applyAlignment="1">
      <alignment horizontal="center" vertical="center"/>
    </xf>
    <xf numFmtId="0" fontId="42" fillId="11" borderId="12" xfId="4" applyFont="1" applyFill="1" applyBorder="1" applyAlignment="1">
      <alignment horizontal="center" vertical="center"/>
    </xf>
    <xf numFmtId="0" fontId="6" fillId="13" borderId="11" xfId="0" applyFont="1" applyFill="1" applyBorder="1" applyAlignment="1">
      <alignment horizontal="center" vertical="center" wrapText="1"/>
    </xf>
    <xf numFmtId="0" fontId="6" fillId="13" borderId="13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11" xfId="0" applyFont="1" applyFill="1" applyBorder="1" applyAlignment="1">
      <alignment horizontal="center" vertical="center" wrapText="1"/>
    </xf>
    <xf numFmtId="0" fontId="12" fillId="13" borderId="11" xfId="0" applyFont="1" applyFill="1" applyBorder="1" applyAlignment="1">
      <alignment horizontal="center" vertical="center" wrapText="1"/>
    </xf>
    <xf numFmtId="0" fontId="12" fillId="13" borderId="13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/>
    </xf>
    <xf numFmtId="0" fontId="6" fillId="13" borderId="15" xfId="0" applyFont="1" applyFill="1" applyBorder="1" applyAlignment="1">
      <alignment horizontal="center" vertical="center" wrapText="1"/>
    </xf>
    <xf numFmtId="0" fontId="6" fillId="13" borderId="12" xfId="0" applyFont="1" applyFill="1" applyBorder="1" applyAlignment="1">
      <alignment horizontal="center" vertical="center" wrapText="1"/>
    </xf>
    <xf numFmtId="0" fontId="6" fillId="13" borderId="14" xfId="0" applyFont="1" applyFill="1" applyBorder="1" applyAlignment="1">
      <alignment horizontal="center" vertical="center" wrapText="1"/>
    </xf>
    <xf numFmtId="0" fontId="22" fillId="2" borderId="6" xfId="4" applyFont="1" applyBorder="1" applyAlignment="1">
      <alignment horizontal="center" vertical="center" wrapText="1"/>
    </xf>
    <xf numFmtId="0" fontId="22" fillId="2" borderId="4" xfId="4" applyFont="1" applyBorder="1" applyAlignment="1">
      <alignment horizontal="center" vertical="center" wrapText="1"/>
    </xf>
    <xf numFmtId="0" fontId="22" fillId="2" borderId="9" xfId="4" applyFont="1" applyBorder="1" applyAlignment="1">
      <alignment horizontal="center" vertical="center" wrapText="1"/>
    </xf>
    <xf numFmtId="14" fontId="22" fillId="2" borderId="2" xfId="4" applyNumberFormat="1" applyFont="1" applyBorder="1" applyAlignment="1">
      <alignment horizontal="center" vertical="center" wrapText="1"/>
    </xf>
    <xf numFmtId="14" fontId="22" fillId="2" borderId="8" xfId="4" applyNumberFormat="1" applyFont="1" applyBorder="1" applyAlignment="1">
      <alignment horizontal="center" vertical="center" wrapText="1"/>
    </xf>
    <xf numFmtId="167" fontId="34" fillId="10" borderId="15" xfId="0" applyNumberFormat="1" applyFont="1" applyFill="1" applyBorder="1" applyAlignment="1">
      <alignment horizontal="center" vertical="center"/>
    </xf>
    <xf numFmtId="167" fontId="34" fillId="10" borderId="12" xfId="0" applyNumberFormat="1" applyFont="1" applyFill="1" applyBorder="1" applyAlignment="1">
      <alignment horizontal="center" vertical="center"/>
    </xf>
    <xf numFmtId="167" fontId="34" fillId="10" borderId="14" xfId="0" applyNumberFormat="1" applyFont="1" applyFill="1" applyBorder="1" applyAlignment="1">
      <alignment horizontal="center" vertical="center"/>
    </xf>
    <xf numFmtId="0" fontId="22" fillId="2" borderId="1" xfId="4" applyFont="1" applyBorder="1" applyAlignment="1">
      <alignment horizontal="center" vertical="center" wrapText="1"/>
    </xf>
    <xf numFmtId="0" fontId="22" fillId="2" borderId="3" xfId="4" applyFont="1" applyBorder="1" applyAlignment="1">
      <alignment horizontal="center" vertical="center" wrapText="1"/>
    </xf>
    <xf numFmtId="0" fontId="22" fillId="2" borderId="7" xfId="4" applyFont="1" applyBorder="1" applyAlignment="1">
      <alignment horizontal="center" vertical="center" wrapText="1"/>
    </xf>
    <xf numFmtId="0" fontId="22" fillId="2" borderId="8" xfId="4" applyFont="1" applyBorder="1" applyAlignment="1">
      <alignment horizontal="center" vertical="center" wrapText="1"/>
    </xf>
    <xf numFmtId="0" fontId="22" fillId="2" borderId="6" xfId="4" applyFont="1" applyBorder="1" applyAlignment="1">
      <alignment horizontal="center" vertical="center"/>
    </xf>
    <xf numFmtId="0" fontId="22" fillId="2" borderId="9" xfId="4" applyFont="1" applyBorder="1" applyAlignment="1">
      <alignment horizontal="center" vertical="center"/>
    </xf>
    <xf numFmtId="0" fontId="22" fillId="2" borderId="7" xfId="4" applyFont="1" applyBorder="1" applyAlignment="1">
      <alignment horizontal="center" vertical="center"/>
    </xf>
    <xf numFmtId="0" fontId="22" fillId="2" borderId="8" xfId="4" applyFont="1" applyBorder="1" applyAlignment="1">
      <alignment horizontal="center" vertical="center"/>
    </xf>
    <xf numFmtId="0" fontId="20" fillId="0" borderId="0" xfId="12" applyFill="1" applyBorder="1" applyAlignment="1">
      <alignment horizontal="center" vertical="center" wrapText="1"/>
    </xf>
    <xf numFmtId="0" fontId="20" fillId="0" borderId="2" xfId="12" applyFill="1" applyBorder="1" applyAlignment="1">
      <alignment horizontal="center" vertical="center" wrapText="1"/>
    </xf>
    <xf numFmtId="0" fontId="22" fillId="2" borderId="2" xfId="4" applyFont="1" applyBorder="1" applyAlignment="1">
      <alignment horizontal="center" vertical="center" wrapText="1"/>
    </xf>
    <xf numFmtId="0" fontId="16" fillId="5" borderId="0" xfId="8" applyFont="1" applyFill="1" applyAlignment="1">
      <alignment horizontal="center" vertical="center"/>
    </xf>
    <xf numFmtId="4" fontId="47" fillId="7" borderId="0" xfId="6" applyNumberFormat="1" applyFont="1" applyAlignment="1">
      <alignment horizontal="right" vertical="center"/>
    </xf>
    <xf numFmtId="0" fontId="31" fillId="0" borderId="0" xfId="2" applyFont="1" applyFill="1" applyBorder="1" applyAlignment="1">
      <alignment horizontal="center" vertical="center"/>
    </xf>
    <xf numFmtId="0" fontId="37" fillId="0" borderId="0" xfId="2" applyFont="1" applyFill="1" applyBorder="1" applyAlignment="1">
      <alignment horizontal="center" vertical="center"/>
    </xf>
    <xf numFmtId="2" fontId="45" fillId="19" borderId="32" xfId="7" applyNumberFormat="1" applyFont="1" applyFill="1" applyBorder="1" applyAlignment="1">
      <alignment horizontal="center" vertical="center" wrapText="1"/>
    </xf>
    <xf numFmtId="2" fontId="45" fillId="19" borderId="28" xfId="7" applyNumberFormat="1" applyFont="1" applyFill="1" applyBorder="1" applyAlignment="1">
      <alignment horizontal="center" vertical="center" wrapText="1"/>
    </xf>
    <xf numFmtId="2" fontId="45" fillId="19" borderId="31" xfId="7" applyNumberFormat="1" applyFont="1" applyFill="1" applyBorder="1" applyAlignment="1">
      <alignment horizontal="center" vertical="center" wrapText="1"/>
    </xf>
    <xf numFmtId="2" fontId="45" fillId="19" borderId="27" xfId="7" applyNumberFormat="1" applyFont="1" applyFill="1" applyBorder="1" applyAlignment="1">
      <alignment horizontal="center" vertical="center" wrapText="1"/>
    </xf>
    <xf numFmtId="2" fontId="45" fillId="19" borderId="30" xfId="7" applyNumberFormat="1" applyFont="1" applyFill="1" applyBorder="1" applyAlignment="1">
      <alignment horizontal="center" vertical="center" wrapText="1"/>
    </xf>
    <xf numFmtId="2" fontId="45" fillId="21" borderId="30" xfId="10" applyNumberFormat="1" applyFont="1" applyFill="1" applyBorder="1" applyAlignment="1">
      <alignment horizontal="center" vertical="center" wrapText="1"/>
    </xf>
    <xf numFmtId="2" fontId="45" fillId="21" borderId="29" xfId="10" applyNumberFormat="1" applyFont="1" applyFill="1" applyBorder="1" applyAlignment="1">
      <alignment horizontal="center" vertical="center" wrapText="1"/>
    </xf>
    <xf numFmtId="2" fontId="45" fillId="20" borderId="30" xfId="10" applyNumberFormat="1" applyFont="1" applyFill="1" applyBorder="1" applyAlignment="1">
      <alignment horizontal="center" vertical="center" wrapText="1"/>
    </xf>
    <xf numFmtId="0" fontId="38" fillId="0" borderId="0" xfId="2" applyFont="1" applyFill="1" applyBorder="1" applyAlignment="1">
      <alignment horizontal="center" vertical="center"/>
    </xf>
    <xf numFmtId="0" fontId="55" fillId="0" borderId="0" xfId="2" applyFont="1" applyFill="1" applyBorder="1" applyAlignment="1">
      <alignment horizontal="center" vertical="center"/>
    </xf>
    <xf numFmtId="0" fontId="56" fillId="0" borderId="0" xfId="8" applyFont="1" applyAlignment="1">
      <alignment horizontal="center"/>
    </xf>
    <xf numFmtId="0" fontId="6" fillId="0" borderId="13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12" fillId="0" borderId="11" xfId="0" applyFont="1" applyFill="1" applyBorder="1" applyAlignment="1">
      <alignment horizontal="center" vertical="center" wrapText="1"/>
    </xf>
    <xf numFmtId="0" fontId="12" fillId="0" borderId="13" xfId="0" applyFont="1" applyFill="1" applyBorder="1" applyAlignment="1">
      <alignment horizontal="center" vertical="center" wrapText="1"/>
    </xf>
    <xf numFmtId="167" fontId="19" fillId="0" borderId="2" xfId="0" applyNumberFormat="1" applyFont="1" applyFill="1" applyBorder="1" applyAlignment="1">
      <alignment horizontal="left" vertical="center"/>
    </xf>
    <xf numFmtId="167" fontId="19" fillId="0" borderId="43" xfId="0" applyNumberFormat="1" applyFont="1" applyFill="1" applyBorder="1" applyAlignment="1">
      <alignment horizontal="left" vertical="center"/>
    </xf>
    <xf numFmtId="0" fontId="6" fillId="0" borderId="37" xfId="0" applyFont="1" applyFill="1" applyBorder="1" applyAlignment="1">
      <alignment horizontal="center" vertical="center" wrapText="1"/>
    </xf>
    <xf numFmtId="0" fontId="6" fillId="0" borderId="41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/>
    </xf>
    <xf numFmtId="0" fontId="6" fillId="0" borderId="15" xfId="0" applyFont="1" applyFill="1" applyBorder="1" applyAlignment="1">
      <alignment horizontal="center" vertical="center" wrapText="1"/>
    </xf>
    <xf numFmtId="0" fontId="6" fillId="0" borderId="12" xfId="0" applyFont="1" applyFill="1" applyBorder="1" applyAlignment="1">
      <alignment horizontal="center" vertical="center" wrapText="1"/>
    </xf>
    <xf numFmtId="0" fontId="6" fillId="0" borderId="14" xfId="0" applyFont="1" applyFill="1" applyBorder="1" applyAlignment="1">
      <alignment horizontal="center" vertical="center" wrapText="1"/>
    </xf>
    <xf numFmtId="0" fontId="6" fillId="0" borderId="15" xfId="0" applyFont="1" applyFill="1" applyBorder="1" applyAlignment="1">
      <alignment horizontal="center"/>
    </xf>
    <xf numFmtId="0" fontId="6" fillId="0" borderId="14" xfId="0" applyFont="1" applyFill="1" applyBorder="1" applyAlignment="1">
      <alignment horizontal="center"/>
    </xf>
    <xf numFmtId="0" fontId="6" fillId="0" borderId="15" xfId="0" applyFont="1" applyFill="1" applyBorder="1" applyAlignment="1">
      <alignment horizontal="center" wrapText="1"/>
    </xf>
    <xf numFmtId="0" fontId="6" fillId="0" borderId="38" xfId="0" applyFont="1" applyFill="1" applyBorder="1" applyAlignment="1">
      <alignment horizontal="center" wrapText="1"/>
    </xf>
    <xf numFmtId="0" fontId="6" fillId="0" borderId="42" xfId="0" applyFont="1" applyFill="1" applyBorder="1" applyAlignment="1">
      <alignment horizontal="center" vertical="center" wrapText="1"/>
    </xf>
    <xf numFmtId="0" fontId="6" fillId="0" borderId="40" xfId="0" applyFont="1" applyFill="1" applyBorder="1" applyAlignment="1">
      <alignment horizontal="center" vertical="center" wrapText="1"/>
    </xf>
    <xf numFmtId="167" fontId="2" fillId="0" borderId="45" xfId="0" applyNumberFormat="1" applyFont="1" applyFill="1" applyBorder="1" applyAlignment="1">
      <alignment horizontal="left" vertical="center"/>
    </xf>
    <xf numFmtId="0" fontId="7" fillId="0" borderId="52" xfId="0" applyFont="1" applyFill="1" applyBorder="1" applyAlignment="1">
      <alignment horizontal="center" vertical="center"/>
    </xf>
    <xf numFmtId="0" fontId="7" fillId="0" borderId="51" xfId="0" applyFont="1" applyFill="1" applyBorder="1" applyAlignment="1">
      <alignment horizontal="center" vertical="center"/>
    </xf>
    <xf numFmtId="0" fontId="7" fillId="0" borderId="50" xfId="0" applyFont="1" applyFill="1" applyBorder="1" applyAlignment="1">
      <alignment horizontal="center" vertical="center"/>
    </xf>
    <xf numFmtId="0" fontId="4" fillId="0" borderId="44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43" xfId="0" applyFont="1" applyFill="1" applyBorder="1" applyAlignment="1">
      <alignment horizontal="center" vertical="center"/>
    </xf>
    <xf numFmtId="0" fontId="4" fillId="0" borderId="49" xfId="0" applyFont="1" applyFill="1" applyBorder="1" applyAlignment="1">
      <alignment horizontal="right" vertical="center"/>
    </xf>
    <xf numFmtId="49" fontId="10" fillId="0" borderId="12" xfId="0" applyNumberFormat="1" applyFont="1" applyFill="1" applyBorder="1" applyAlignment="1">
      <alignment horizontal="left" vertical="center"/>
    </xf>
    <xf numFmtId="49" fontId="10" fillId="0" borderId="38" xfId="0" applyNumberFormat="1" applyFont="1" applyFill="1" applyBorder="1" applyAlignment="1">
      <alignment horizontal="left" vertical="center"/>
    </xf>
    <xf numFmtId="0" fontId="10" fillId="0" borderId="12" xfId="0" applyFont="1" applyFill="1" applyBorder="1" applyAlignment="1">
      <alignment horizontal="left" vertical="center"/>
    </xf>
    <xf numFmtId="0" fontId="10" fillId="0" borderId="38" xfId="0" applyFont="1" applyFill="1" applyBorder="1" applyAlignment="1">
      <alignment horizontal="left" vertical="center"/>
    </xf>
    <xf numFmtId="167" fontId="2" fillId="0" borderId="47" xfId="0" applyNumberFormat="1" applyFont="1" applyFill="1" applyBorder="1" applyAlignment="1">
      <alignment horizontal="left" vertical="center"/>
    </xf>
    <xf numFmtId="170" fontId="2" fillId="0" borderId="45" xfId="0" applyNumberFormat="1" applyFont="1" applyFill="1" applyBorder="1" applyAlignment="1">
      <alignment horizontal="left" vertical="center"/>
    </xf>
    <xf numFmtId="167" fontId="2" fillId="0" borderId="2" xfId="0" applyNumberFormat="1" applyFont="1" applyFill="1" applyBorder="1" applyAlignment="1">
      <alignment horizontal="left" vertical="center"/>
    </xf>
    <xf numFmtId="167" fontId="2" fillId="0" borderId="43" xfId="0" applyNumberFormat="1" applyFont="1" applyFill="1" applyBorder="1" applyAlignment="1">
      <alignment horizontal="left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0" fontId="6" fillId="0" borderId="38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</cellXfs>
  <cellStyles count="14">
    <cellStyle name="40% - Énfasis2" xfId="7" builtinId="35"/>
    <cellStyle name="Bueno" xfId="5" builtinId="26"/>
    <cellStyle name="Énfasis1" xfId="4" builtinId="29"/>
    <cellStyle name="Énfasis2" xfId="12" builtinId="33"/>
    <cellStyle name="Incorrecto" xfId="6" builtinId="27"/>
    <cellStyle name="Millares 2" xfId="1" xr:uid="{00000000-0005-0000-0000-000005000000}"/>
    <cellStyle name="Millares 3" xfId="11" xr:uid="{00000000-0005-0000-0000-000006000000}"/>
    <cellStyle name="Normal" xfId="0" builtinId="0"/>
    <cellStyle name="Normal 2" xfId="2" xr:uid="{00000000-0005-0000-0000-000008000000}"/>
    <cellStyle name="Normal 3" xfId="8" xr:uid="{00000000-0005-0000-0000-000009000000}"/>
    <cellStyle name="Normal 4 3" xfId="10" xr:uid="{00000000-0005-0000-0000-00000A000000}"/>
    <cellStyle name="Porcentaje" xfId="3" builtinId="5"/>
    <cellStyle name="Porcentaje 2" xfId="9" xr:uid="{00000000-0005-0000-0000-00000C000000}"/>
    <cellStyle name="Porcentaje 3" xfId="13" xr:uid="{00000000-0005-0000-0000-00000D000000}"/>
  </cellStyles>
  <dxfs count="56"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C00000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ont>
        <color rgb="FFC00000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ill>
        <patternFill>
          <bgColor rgb="FFE2F2F6"/>
        </patternFill>
      </fill>
    </dxf>
    <dxf>
      <fill>
        <patternFill>
          <bgColor rgb="FFE2F2F6"/>
        </patternFill>
      </fill>
    </dxf>
    <dxf>
      <fill>
        <patternFill>
          <bgColor rgb="FFE2F2F6"/>
        </patternFill>
      </fill>
    </dxf>
    <dxf>
      <fill>
        <patternFill>
          <bgColor rgb="FFE2F2F6"/>
        </patternFill>
      </fill>
    </dxf>
    <dxf>
      <fill>
        <patternFill>
          <bgColor rgb="FFE2F2F6"/>
        </patternFill>
      </fill>
    </dxf>
    <dxf>
      <fill>
        <patternFill>
          <bgColor rgb="FFE2F2F6"/>
        </patternFill>
      </fill>
    </dxf>
    <dxf>
      <fill>
        <patternFill>
          <bgColor rgb="FFE2F2F6"/>
        </patternFill>
      </fill>
    </dxf>
    <dxf>
      <fill>
        <patternFill>
          <bgColor rgb="FFE2F2F6"/>
        </patternFill>
      </fill>
    </dxf>
    <dxf>
      <fill>
        <patternFill>
          <bgColor rgb="FFE2F2F6"/>
        </patternFill>
      </fill>
    </dxf>
    <dxf>
      <fill>
        <patternFill>
          <bgColor rgb="FFE2F2F6"/>
        </patternFill>
      </fill>
    </dxf>
    <dxf>
      <fill>
        <patternFill>
          <bgColor rgb="FFE2F2F6"/>
        </patternFill>
      </fill>
    </dxf>
    <dxf>
      <fill>
        <patternFill>
          <bgColor rgb="FFE2F2F6"/>
        </patternFill>
      </fill>
    </dxf>
    <dxf>
      <fill>
        <patternFill>
          <bgColor rgb="FFE2F2F6"/>
        </patternFill>
      </fill>
    </dxf>
    <dxf>
      <fill>
        <patternFill>
          <bgColor rgb="FFE2F2F6"/>
        </patternFill>
      </fill>
    </dxf>
    <dxf>
      <fill>
        <patternFill>
          <bgColor rgb="FFE2F2F6"/>
        </patternFill>
      </fill>
    </dxf>
    <dxf>
      <fill>
        <patternFill>
          <bgColor rgb="FFE2F2F6"/>
        </patternFill>
      </fill>
    </dxf>
    <dxf>
      <fill>
        <patternFill>
          <bgColor rgb="FFE2F2F6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ill>
        <patternFill>
          <bgColor rgb="FFE2F2F6"/>
        </patternFill>
      </fill>
    </dxf>
    <dxf>
      <fill>
        <patternFill>
          <bgColor rgb="FFE2F2F6"/>
        </patternFill>
      </fill>
    </dxf>
    <dxf>
      <fill>
        <patternFill>
          <bgColor rgb="FFE2F2F6"/>
        </patternFill>
      </fill>
    </dxf>
    <dxf>
      <fill>
        <patternFill>
          <bgColor rgb="FFE2F2F6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ill>
        <patternFill>
          <bgColor rgb="FFE2F2F6"/>
        </patternFill>
      </fill>
    </dxf>
  </dxfs>
  <tableStyles count="0" defaultTableStyle="TableStyleMedium9" defaultPivotStyle="PivotStyleLight16"/>
  <colors>
    <mruColors>
      <color rgb="FFFFC7CE"/>
      <color rgb="FFE2F2F6"/>
      <color rgb="FFE0F2F6"/>
      <color rgb="FFD0FCD0"/>
      <color rgb="FFBBFBBB"/>
      <color rgb="FF90F4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lotArea>
      <c:layout>
        <c:manualLayout>
          <c:layoutTarget val="inner"/>
          <c:xMode val="edge"/>
          <c:yMode val="edge"/>
          <c:x val="0.3610826771653543"/>
          <c:y val="0.24915354330708661"/>
          <c:w val="0.3389459755030621"/>
          <c:h val="0.56490995917177023"/>
        </c:manualLayout>
      </c:layout>
      <c:doughnutChart>
        <c:varyColors val="1"/>
        <c:ser>
          <c:idx val="0"/>
          <c:order val="0"/>
          <c:tx>
            <c:strRef>
              <c:f>TC!$F$9</c:f>
              <c:strCache>
                <c:ptCount val="1"/>
                <c:pt idx="0">
                  <c:v>AVANCE FÍSICO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3">
                      <a:shade val="76000"/>
                      <a:shade val="51000"/>
                      <a:satMod val="130000"/>
                    </a:schemeClr>
                  </a:gs>
                  <a:gs pos="80000">
                    <a:schemeClr val="accent3">
                      <a:shade val="76000"/>
                      <a:shade val="93000"/>
                      <a:satMod val="130000"/>
                    </a:schemeClr>
                  </a:gs>
                  <a:gs pos="100000">
                    <a:schemeClr val="accent3">
                      <a:shade val="76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BD8A-4A79-B008-1AF3883215DC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25400" cap="flat" cmpd="sng" algn="ctr">
                <a:solidFill>
                  <a:schemeClr val="accent3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3-BD8A-4A79-B008-1AF3883215DC}"/>
              </c:ext>
            </c:extLst>
          </c:dPt>
          <c:dLbls>
            <c:dLbl>
              <c:idx val="0"/>
              <c:layout>
                <c:manualLayout>
                  <c:x val="0.15833333333333333"/>
                  <c:y val="8.33333333333333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8A-4A79-B008-1AF3883215DC}"/>
                </c:ext>
              </c:extLst>
            </c:dLbl>
            <c:dLbl>
              <c:idx val="1"/>
              <c:layout>
                <c:manualLayout>
                  <c:x val="-0.18055555555555558"/>
                  <c:y val="6.94444444444444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8A-4A79-B008-1AF388321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(TC!$K$23,TC!$K$21)</c:f>
              <c:numCache>
                <c:formatCode>0.00%</c:formatCode>
                <c:ptCount val="2"/>
                <c:pt idx="0">
                  <c:v>0.6492</c:v>
                </c:pt>
                <c:pt idx="1">
                  <c:v>0.3508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D8A-4A79-B008-1AF388321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lotArea>
      <c:layout>
        <c:manualLayout>
          <c:layoutTarget val="inner"/>
          <c:xMode val="edge"/>
          <c:yMode val="edge"/>
          <c:x val="0.3610826771653543"/>
          <c:y val="0.24915354330708661"/>
          <c:w val="0.3389459755030621"/>
          <c:h val="0.56490995917177023"/>
        </c:manualLayout>
      </c:layout>
      <c:doughnutChart>
        <c:varyColors val="1"/>
        <c:ser>
          <c:idx val="0"/>
          <c:order val="0"/>
          <c:tx>
            <c:strRef>
              <c:f>TC!$I$9</c:f>
              <c:strCache>
                <c:ptCount val="1"/>
                <c:pt idx="0">
                  <c:v>AVANCE FINANCIERO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76000"/>
                      <a:shade val="51000"/>
                      <a:satMod val="130000"/>
                    </a:schemeClr>
                  </a:gs>
                  <a:gs pos="80000">
                    <a:schemeClr val="accent1">
                      <a:shade val="76000"/>
                      <a:shade val="93000"/>
                      <a:satMod val="130000"/>
                    </a:schemeClr>
                  </a:gs>
                  <a:gs pos="100000">
                    <a:schemeClr val="accent1">
                      <a:shade val="76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BD8A-4A79-B008-1AF3883215DC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25400" cap="flat" cmpd="sng" algn="ctr">
                <a:solidFill>
                  <a:schemeClr val="accent1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3-BD8A-4A79-B008-1AF3883215DC}"/>
              </c:ext>
            </c:extLst>
          </c:dPt>
          <c:dLbls>
            <c:dLbl>
              <c:idx val="0"/>
              <c:layout>
                <c:manualLayout>
                  <c:x val="0.15833333333333333"/>
                  <c:y val="8.33333333333333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8A-4A79-B008-1AF3883215DC}"/>
                </c:ext>
              </c:extLst>
            </c:dLbl>
            <c:dLbl>
              <c:idx val="1"/>
              <c:layout>
                <c:manualLayout>
                  <c:x val="-0.18055555555555558"/>
                  <c:y val="6.94444444444444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8A-4A79-B008-1AF388321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(TC!$L$23,TC!$L$21)</c:f>
              <c:numCache>
                <c:formatCode>0.00%</c:formatCode>
                <c:ptCount val="2"/>
                <c:pt idx="0">
                  <c:v>0.69750000000000001</c:v>
                </c:pt>
                <c:pt idx="1">
                  <c:v>0.30249999999999999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D8A-4A79-B008-1AF388321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Zurich Ex BT" panose="020B0505020202020204" pitchFamily="34" charset="0"/>
                <a:ea typeface="+mn-ea"/>
                <a:cs typeface="+mn-cs"/>
              </a:defRPr>
            </a:pPr>
            <a:r>
              <a:rPr lang="es-BO" sz="1800" b="1">
                <a:solidFill>
                  <a:schemeClr val="tx2"/>
                </a:solidFill>
                <a:latin typeface="Arial Black" panose="020B0A04020102020204" pitchFamily="34" charset="0"/>
              </a:rPr>
              <a:t>AVANCE</a:t>
            </a:r>
            <a:r>
              <a:rPr lang="es-BO" sz="1800" b="1" baseline="0">
                <a:solidFill>
                  <a:schemeClr val="tx2"/>
                </a:solidFill>
                <a:latin typeface="Arial Black" panose="020B0A04020102020204" pitchFamily="34" charset="0"/>
              </a:rPr>
              <a:t> FÍSICO FINANCIERO</a:t>
            </a:r>
            <a:endParaRPr lang="es-BO" sz="1800" b="1">
              <a:solidFill>
                <a:schemeClr val="tx2"/>
              </a:solidFill>
              <a:latin typeface="Arial Black" panose="020B0A04020102020204" pitchFamily="34" charset="0"/>
            </a:endParaRPr>
          </a:p>
        </c:rich>
      </c:tx>
      <c:layout>
        <c:manualLayout>
          <c:xMode val="edge"/>
          <c:yMode val="edge"/>
          <c:x val="0.36888139504113981"/>
          <c:y val="4.826546461590381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Zurich Ex BT" panose="020B0505020202020204" pitchFamily="34" charset="0"/>
              <a:ea typeface="+mn-ea"/>
              <a:cs typeface="+mn-cs"/>
            </a:defRPr>
          </a:pPr>
          <a:endParaRPr lang="es-BO"/>
        </a:p>
      </c:txPr>
    </c:title>
    <c:autoTitleDeleted val="0"/>
    <c:plotArea>
      <c:layout>
        <c:manualLayout>
          <c:layoutTarget val="inner"/>
          <c:xMode val="edge"/>
          <c:yMode val="edge"/>
          <c:x val="6.0391480461764985E-2"/>
          <c:y val="6.9643504224910002E-2"/>
          <c:w val="0.91643149311382666"/>
          <c:h val="0.72392287850081805"/>
        </c:manualLayout>
      </c:layout>
      <c:lineChart>
        <c:grouping val="standard"/>
        <c:varyColors val="0"/>
        <c:ser>
          <c:idx val="0"/>
          <c:order val="0"/>
          <c:tx>
            <c:strRef>
              <c:f>'FISICO-FINANCIERO'!$D$8</c:f>
              <c:strCache>
                <c:ptCount val="1"/>
                <c:pt idx="0">
                  <c:v>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'FISICO-FINANCIERO'!$C$10:$C$34</c:f>
              <c:strCache>
                <c:ptCount val="25"/>
                <c:pt idx="0">
                  <c:v>ANTICIPO</c:v>
                </c:pt>
                <c:pt idx="1">
                  <c:v>SEP-2019</c:v>
                </c:pt>
                <c:pt idx="2">
                  <c:v>OCT-19</c:v>
                </c:pt>
                <c:pt idx="3">
                  <c:v>NOV-19</c:v>
                </c:pt>
                <c:pt idx="4">
                  <c:v>DIC-19</c:v>
                </c:pt>
                <c:pt idx="5">
                  <c:v>ENE-20</c:v>
                </c:pt>
                <c:pt idx="6">
                  <c:v>FEB-20</c:v>
                </c:pt>
                <c:pt idx="7">
                  <c:v>MAR-20</c:v>
                </c:pt>
                <c:pt idx="8">
                  <c:v>SUSPENSION</c:v>
                </c:pt>
                <c:pt idx="9">
                  <c:v>OCT-20</c:v>
                </c:pt>
                <c:pt idx="10">
                  <c:v>NOV-20</c:v>
                </c:pt>
                <c:pt idx="11">
                  <c:v>DIC-20</c:v>
                </c:pt>
                <c:pt idx="12">
                  <c:v>ENE-21</c:v>
                </c:pt>
                <c:pt idx="13">
                  <c:v>FEB-21</c:v>
                </c:pt>
                <c:pt idx="14">
                  <c:v>MAR-21</c:v>
                </c:pt>
                <c:pt idx="15">
                  <c:v>ABR-21</c:v>
                </c:pt>
                <c:pt idx="16">
                  <c:v>MAY-21</c:v>
                </c:pt>
                <c:pt idx="17">
                  <c:v>JUN-21</c:v>
                </c:pt>
                <c:pt idx="18">
                  <c:v>JUL-21</c:v>
                </c:pt>
                <c:pt idx="19">
                  <c:v>AGO-21</c:v>
                </c:pt>
                <c:pt idx="20">
                  <c:v>SEP-21</c:v>
                </c:pt>
                <c:pt idx="21">
                  <c:v>OCT-21</c:v>
                </c:pt>
                <c:pt idx="22">
                  <c:v>NOV-21</c:v>
                </c:pt>
                <c:pt idx="23">
                  <c:v>DIC-21</c:v>
                </c:pt>
                <c:pt idx="24">
                  <c:v>ENE-22</c:v>
                </c:pt>
              </c:strCache>
            </c:strRef>
          </c:cat>
          <c:val>
            <c:numRef>
              <c:f>'FISICO-FINANCIERO'!$F$10:$F$34</c:f>
              <c:numCache>
                <c:formatCode>0.00%</c:formatCode>
                <c:ptCount val="25"/>
                <c:pt idx="0">
                  <c:v>0.13769999999999999</c:v>
                </c:pt>
                <c:pt idx="1">
                  <c:v>0.21970000000000001</c:v>
                </c:pt>
                <c:pt idx="2">
                  <c:v>0.2397</c:v>
                </c:pt>
                <c:pt idx="3">
                  <c:v>0.2797</c:v>
                </c:pt>
                <c:pt idx="4">
                  <c:v>0.38969999999999999</c:v>
                </c:pt>
                <c:pt idx="5">
                  <c:v>0.43969999999999998</c:v>
                </c:pt>
                <c:pt idx="6">
                  <c:v>0.49969999999999998</c:v>
                </c:pt>
                <c:pt idx="7">
                  <c:v>0.56969999999999998</c:v>
                </c:pt>
                <c:pt idx="8">
                  <c:v>0.56969999999999998</c:v>
                </c:pt>
                <c:pt idx="9">
                  <c:v>0.60970000000000002</c:v>
                </c:pt>
                <c:pt idx="10">
                  <c:v>0.64670000000000005</c:v>
                </c:pt>
                <c:pt idx="11">
                  <c:v>0.67669999999999997</c:v>
                </c:pt>
                <c:pt idx="12">
                  <c:v>0.7167</c:v>
                </c:pt>
                <c:pt idx="13">
                  <c:v>0.75470000000000004</c:v>
                </c:pt>
                <c:pt idx="14">
                  <c:v>0.79469999999999996</c:v>
                </c:pt>
                <c:pt idx="15">
                  <c:v>0.81469999999999998</c:v>
                </c:pt>
                <c:pt idx="16">
                  <c:v>0.8397</c:v>
                </c:pt>
                <c:pt idx="17">
                  <c:v>0.86170000000000002</c:v>
                </c:pt>
                <c:pt idx="18">
                  <c:v>0.88470000000000004</c:v>
                </c:pt>
                <c:pt idx="19">
                  <c:v>0.90869999999999995</c:v>
                </c:pt>
                <c:pt idx="20">
                  <c:v>0.92500000000000004</c:v>
                </c:pt>
                <c:pt idx="21">
                  <c:v>0.93600000000000005</c:v>
                </c:pt>
                <c:pt idx="22">
                  <c:v>0.95799999999999996</c:v>
                </c:pt>
                <c:pt idx="23">
                  <c:v>0.98089999999999999</c:v>
                </c:pt>
                <c:pt idx="2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78-49D1-89E5-D28CB77B766F}"/>
            </c:ext>
          </c:extLst>
        </c:ser>
        <c:ser>
          <c:idx val="1"/>
          <c:order val="1"/>
          <c:tx>
            <c:strRef>
              <c:f>'FISICO-FINANCIERO'!$I$8</c:f>
              <c:strCache>
                <c:ptCount val="1"/>
                <c:pt idx="0">
                  <c:v>EJECUCION FINANCIERA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'FISICO-FINANCIERO'!$C$10:$C$34</c:f>
              <c:strCache>
                <c:ptCount val="25"/>
                <c:pt idx="0">
                  <c:v>ANTICIPO</c:v>
                </c:pt>
                <c:pt idx="1">
                  <c:v>SEP-2019</c:v>
                </c:pt>
                <c:pt idx="2">
                  <c:v>OCT-19</c:v>
                </c:pt>
                <c:pt idx="3">
                  <c:v>NOV-19</c:v>
                </c:pt>
                <c:pt idx="4">
                  <c:v>DIC-19</c:v>
                </c:pt>
                <c:pt idx="5">
                  <c:v>ENE-20</c:v>
                </c:pt>
                <c:pt idx="6">
                  <c:v>FEB-20</c:v>
                </c:pt>
                <c:pt idx="7">
                  <c:v>MAR-20</c:v>
                </c:pt>
                <c:pt idx="8">
                  <c:v>SUSPENSION</c:v>
                </c:pt>
                <c:pt idx="9">
                  <c:v>OCT-20</c:v>
                </c:pt>
                <c:pt idx="10">
                  <c:v>NOV-20</c:v>
                </c:pt>
                <c:pt idx="11">
                  <c:v>DIC-20</c:v>
                </c:pt>
                <c:pt idx="12">
                  <c:v>ENE-21</c:v>
                </c:pt>
                <c:pt idx="13">
                  <c:v>FEB-21</c:v>
                </c:pt>
                <c:pt idx="14">
                  <c:v>MAR-21</c:v>
                </c:pt>
                <c:pt idx="15">
                  <c:v>ABR-21</c:v>
                </c:pt>
                <c:pt idx="16">
                  <c:v>MAY-21</c:v>
                </c:pt>
                <c:pt idx="17">
                  <c:v>JUN-21</c:v>
                </c:pt>
                <c:pt idx="18">
                  <c:v>JUL-21</c:v>
                </c:pt>
                <c:pt idx="19">
                  <c:v>AGO-21</c:v>
                </c:pt>
                <c:pt idx="20">
                  <c:v>SEP-21</c:v>
                </c:pt>
                <c:pt idx="21">
                  <c:v>OCT-21</c:v>
                </c:pt>
                <c:pt idx="22">
                  <c:v>NOV-21</c:v>
                </c:pt>
                <c:pt idx="23">
                  <c:v>DIC-21</c:v>
                </c:pt>
                <c:pt idx="24">
                  <c:v>ENE-22</c:v>
                </c:pt>
              </c:strCache>
            </c:strRef>
          </c:cat>
          <c:val>
            <c:numRef>
              <c:f>'FISICO-FINANCIERO'!$R$10:$R$34</c:f>
              <c:numCache>
                <c:formatCode>0.00%</c:formatCode>
                <c:ptCount val="25"/>
                <c:pt idx="0">
                  <c:v>0.13769999999999999</c:v>
                </c:pt>
                <c:pt idx="1">
                  <c:v>0.13769999999999999</c:v>
                </c:pt>
                <c:pt idx="2">
                  <c:v>0.13769999999999999</c:v>
                </c:pt>
                <c:pt idx="3">
                  <c:v>0.13769999999999999</c:v>
                </c:pt>
                <c:pt idx="4">
                  <c:v>0.13769999999999999</c:v>
                </c:pt>
                <c:pt idx="5">
                  <c:v>0.22689999999999999</c:v>
                </c:pt>
                <c:pt idx="6">
                  <c:v>0.22689999999999999</c:v>
                </c:pt>
                <c:pt idx="7">
                  <c:v>0.2485</c:v>
                </c:pt>
                <c:pt idx="8">
                  <c:v>0.2485</c:v>
                </c:pt>
                <c:pt idx="9">
                  <c:v>0.2485</c:v>
                </c:pt>
                <c:pt idx="10">
                  <c:v>0.3201</c:v>
                </c:pt>
                <c:pt idx="11">
                  <c:v>0.3201</c:v>
                </c:pt>
                <c:pt idx="12">
                  <c:v>0.3201</c:v>
                </c:pt>
                <c:pt idx="13">
                  <c:v>0.3201</c:v>
                </c:pt>
                <c:pt idx="14">
                  <c:v>0.3841</c:v>
                </c:pt>
                <c:pt idx="15">
                  <c:v>0.3841</c:v>
                </c:pt>
                <c:pt idx="16">
                  <c:v>0.3841</c:v>
                </c:pt>
                <c:pt idx="17">
                  <c:v>0.45739999999999997</c:v>
                </c:pt>
                <c:pt idx="18">
                  <c:v>0.45739999999999997</c:v>
                </c:pt>
                <c:pt idx="19">
                  <c:v>0.62090000000000001</c:v>
                </c:pt>
                <c:pt idx="20">
                  <c:v>0.69750000000000001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78-49D1-89E5-D28CB77B766F}"/>
            </c:ext>
          </c:extLst>
        </c:ser>
        <c:ser>
          <c:idx val="2"/>
          <c:order val="2"/>
          <c:tx>
            <c:strRef>
              <c:f>'FISICO-FINANCIERO'!$L$8</c:f>
              <c:strCache>
                <c:ptCount val="1"/>
                <c:pt idx="0">
                  <c:v>EJECUCION FISICA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'FISICO-FINANCIERO'!$C$10:$C$34</c:f>
              <c:strCache>
                <c:ptCount val="25"/>
                <c:pt idx="0">
                  <c:v>ANTICIPO</c:v>
                </c:pt>
                <c:pt idx="1">
                  <c:v>SEP-2019</c:v>
                </c:pt>
                <c:pt idx="2">
                  <c:v>OCT-19</c:v>
                </c:pt>
                <c:pt idx="3">
                  <c:v>NOV-19</c:v>
                </c:pt>
                <c:pt idx="4">
                  <c:v>DIC-19</c:v>
                </c:pt>
                <c:pt idx="5">
                  <c:v>ENE-20</c:v>
                </c:pt>
                <c:pt idx="6">
                  <c:v>FEB-20</c:v>
                </c:pt>
                <c:pt idx="7">
                  <c:v>MAR-20</c:v>
                </c:pt>
                <c:pt idx="8">
                  <c:v>SUSPENSION</c:v>
                </c:pt>
                <c:pt idx="9">
                  <c:v>OCT-20</c:v>
                </c:pt>
                <c:pt idx="10">
                  <c:v>NOV-20</c:v>
                </c:pt>
                <c:pt idx="11">
                  <c:v>DIC-20</c:v>
                </c:pt>
                <c:pt idx="12">
                  <c:v>ENE-21</c:v>
                </c:pt>
                <c:pt idx="13">
                  <c:v>FEB-21</c:v>
                </c:pt>
                <c:pt idx="14">
                  <c:v>MAR-21</c:v>
                </c:pt>
                <c:pt idx="15">
                  <c:v>ABR-21</c:v>
                </c:pt>
                <c:pt idx="16">
                  <c:v>MAY-21</c:v>
                </c:pt>
                <c:pt idx="17">
                  <c:v>JUN-21</c:v>
                </c:pt>
                <c:pt idx="18">
                  <c:v>JUL-21</c:v>
                </c:pt>
                <c:pt idx="19">
                  <c:v>AGO-21</c:v>
                </c:pt>
                <c:pt idx="20">
                  <c:v>SEP-21</c:v>
                </c:pt>
                <c:pt idx="21">
                  <c:v>OCT-21</c:v>
                </c:pt>
                <c:pt idx="22">
                  <c:v>NOV-21</c:v>
                </c:pt>
                <c:pt idx="23">
                  <c:v>DIC-21</c:v>
                </c:pt>
                <c:pt idx="24">
                  <c:v>ENE-22</c:v>
                </c:pt>
              </c:strCache>
            </c:strRef>
          </c:cat>
          <c:val>
            <c:numRef>
              <c:f>'FISICO-FINANCIERO'!$S$10:$S$34</c:f>
              <c:numCache>
                <c:formatCode>0.00%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0.10340000000000001</c:v>
                </c:pt>
                <c:pt idx="6">
                  <c:v>0.10340000000000001</c:v>
                </c:pt>
                <c:pt idx="7">
                  <c:v>0.12839999999999999</c:v>
                </c:pt>
                <c:pt idx="8">
                  <c:v>0.12839999999999999</c:v>
                </c:pt>
                <c:pt idx="9">
                  <c:v>0.12839999999999999</c:v>
                </c:pt>
                <c:pt idx="10">
                  <c:v>0.21149999999999999</c:v>
                </c:pt>
                <c:pt idx="11">
                  <c:v>0.21149999999999999</c:v>
                </c:pt>
                <c:pt idx="12">
                  <c:v>0.21149999999999999</c:v>
                </c:pt>
                <c:pt idx="13">
                  <c:v>0.21149999999999999</c:v>
                </c:pt>
                <c:pt idx="14">
                  <c:v>0.28570000000000001</c:v>
                </c:pt>
                <c:pt idx="15">
                  <c:v>0.28570000000000001</c:v>
                </c:pt>
                <c:pt idx="16">
                  <c:v>0.28570000000000001</c:v>
                </c:pt>
                <c:pt idx="17">
                  <c:v>0.37069999999999997</c:v>
                </c:pt>
                <c:pt idx="18">
                  <c:v>0.37069999999999997</c:v>
                </c:pt>
                <c:pt idx="19">
                  <c:v>0.56030000000000002</c:v>
                </c:pt>
                <c:pt idx="20">
                  <c:v>0.6492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78-49D1-89E5-D28CB77B7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5022784"/>
        <c:axId val="285023344"/>
      </c:lineChart>
      <c:catAx>
        <c:axId val="28502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285023344"/>
        <c:crosses val="autoZero"/>
        <c:auto val="1"/>
        <c:lblAlgn val="ctr"/>
        <c:lblOffset val="100"/>
        <c:noMultiLvlLbl val="0"/>
      </c:catAx>
      <c:valAx>
        <c:axId val="28502334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28502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19685039370078741" l="0.19685039370078741" r="0.19685039370078741" t="0.59055118110236227" header="0.31496062992125984" footer="0.31496062992125984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lotArea>
      <c:layout>
        <c:manualLayout>
          <c:layoutTarget val="inner"/>
          <c:xMode val="edge"/>
          <c:yMode val="edge"/>
          <c:x val="0.3610826771653543"/>
          <c:y val="0.24915354330708661"/>
          <c:w val="0.3389459755030621"/>
          <c:h val="0.56490995917177023"/>
        </c:manualLayout>
      </c:layout>
      <c:doughnutChart>
        <c:varyColors val="1"/>
        <c:ser>
          <c:idx val="0"/>
          <c:order val="0"/>
          <c:tx>
            <c:strRef>
              <c:f>ANALISIS!$A$34</c:f>
              <c:strCache>
                <c:ptCount val="1"/>
                <c:pt idx="0">
                  <c:v>PORCENTAJE DE AVANCE FISICO TOTAL: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3">
                      <a:shade val="76000"/>
                      <a:shade val="51000"/>
                      <a:satMod val="130000"/>
                    </a:schemeClr>
                  </a:gs>
                  <a:gs pos="80000">
                    <a:schemeClr val="accent3">
                      <a:shade val="76000"/>
                      <a:shade val="93000"/>
                      <a:satMod val="130000"/>
                    </a:schemeClr>
                  </a:gs>
                  <a:gs pos="100000">
                    <a:schemeClr val="accent3">
                      <a:shade val="76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CDB-4748-BD82-710DB840CD14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25400" cap="flat" cmpd="sng" algn="ctr">
                <a:solidFill>
                  <a:schemeClr val="accent3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2-BCDB-4748-BD82-710DB840CD14}"/>
              </c:ext>
            </c:extLst>
          </c:dPt>
          <c:dLbls>
            <c:dLbl>
              <c:idx val="0"/>
              <c:layout>
                <c:manualLayout>
                  <c:x val="0.15833333333333333"/>
                  <c:y val="8.33333333333333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DB-4748-BD82-710DB840CD14}"/>
                </c:ext>
              </c:extLst>
            </c:dLbl>
            <c:dLbl>
              <c:idx val="1"/>
              <c:layout>
                <c:manualLayout>
                  <c:x val="-0.18055555555555558"/>
                  <c:y val="6.94444444444444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DB-4748-BD82-710DB840CD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1</c:v>
              </c:pt>
              <c:pt idx="1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(ANALISIS!$C$34,ANALISIS!$E$34:$F$34)</c15:sqref>
                  </c15:fullRef>
                </c:ext>
              </c:extLst>
              <c:f>(ANALISIS!$C$34,ANALISIS!$E$34)</c:f>
              <c:numCache>
                <c:formatCode>0.00%</c:formatCode>
                <c:ptCount val="2"/>
                <c:pt idx="0">
                  <c:v>0.6492</c:v>
                </c:pt>
                <c:pt idx="1">
                  <c:v>0.3508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BCDB-4748-BD82-710DB840C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lotArea>
      <c:layout>
        <c:manualLayout>
          <c:layoutTarget val="inner"/>
          <c:xMode val="edge"/>
          <c:yMode val="edge"/>
          <c:x val="0.3610826771653543"/>
          <c:y val="0.24915354330708661"/>
          <c:w val="0.3389459755030621"/>
          <c:h val="0.56490995917177023"/>
        </c:manualLayout>
      </c:layout>
      <c:doughnutChart>
        <c:varyColors val="1"/>
        <c:ser>
          <c:idx val="0"/>
          <c:order val="0"/>
          <c:tx>
            <c:strRef>
              <c:f>ANALISIS!$A$35</c:f>
              <c:strCache>
                <c:ptCount val="1"/>
                <c:pt idx="0">
                  <c:v>PORCENTAJE DE AVANCE FINANCIERO  TOTAL: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2">
                      <a:shade val="76000"/>
                      <a:shade val="51000"/>
                      <a:satMod val="130000"/>
                    </a:schemeClr>
                  </a:gs>
                  <a:gs pos="80000">
                    <a:schemeClr val="accent2">
                      <a:shade val="76000"/>
                      <a:shade val="93000"/>
                      <a:satMod val="130000"/>
                    </a:schemeClr>
                  </a:gs>
                  <a:gs pos="100000">
                    <a:schemeClr val="accent2">
                      <a:shade val="76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CDB-4748-BD82-710DB840CD14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25400" cap="flat" cmpd="sng" algn="ctr">
                <a:solidFill>
                  <a:schemeClr val="accent2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2-BCDB-4748-BD82-710DB840CD14}"/>
              </c:ext>
            </c:extLst>
          </c:dPt>
          <c:dLbls>
            <c:dLbl>
              <c:idx val="0"/>
              <c:layout>
                <c:manualLayout>
                  <c:x val="0.15833333333333333"/>
                  <c:y val="8.33333333333333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DB-4748-BD82-710DB840CD14}"/>
                </c:ext>
              </c:extLst>
            </c:dLbl>
            <c:dLbl>
              <c:idx val="1"/>
              <c:layout>
                <c:manualLayout>
                  <c:x val="-0.18055555555555558"/>
                  <c:y val="6.94444444444444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DB-4748-BD82-710DB840CD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(ANALISIS!$C$35,ANALISIS!$E$35)</c:f>
              <c:numCache>
                <c:formatCode>0.00%</c:formatCode>
                <c:ptCount val="2"/>
                <c:pt idx="0">
                  <c:v>0.69750000000000001</c:v>
                </c:pt>
                <c:pt idx="1">
                  <c:v>0.30249999999999999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DB-4748-BD82-710DB840C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560608662234979E-2"/>
          <c:y val="4.7659225705784736E-2"/>
          <c:w val="0.93874665559969106"/>
          <c:h val="0.79382213702712934"/>
        </c:manualLayout>
      </c:layout>
      <c:lineChart>
        <c:grouping val="standard"/>
        <c:varyColors val="0"/>
        <c:ser>
          <c:idx val="0"/>
          <c:order val="0"/>
          <c:tx>
            <c:strRef>
              <c:f>'FISICO-FINANCIERO'!$D$8</c:f>
              <c:strCache>
                <c:ptCount val="1"/>
                <c:pt idx="0">
                  <c:v>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'FISICO-FINANCIERO'!$C$10:$C$34</c:f>
              <c:strCache>
                <c:ptCount val="25"/>
                <c:pt idx="0">
                  <c:v>ANTICIPO</c:v>
                </c:pt>
                <c:pt idx="1">
                  <c:v>SEP-2019</c:v>
                </c:pt>
                <c:pt idx="2">
                  <c:v>OCT-19</c:v>
                </c:pt>
                <c:pt idx="3">
                  <c:v>NOV-19</c:v>
                </c:pt>
                <c:pt idx="4">
                  <c:v>DIC-19</c:v>
                </c:pt>
                <c:pt idx="5">
                  <c:v>ENE-20</c:v>
                </c:pt>
                <c:pt idx="6">
                  <c:v>FEB-20</c:v>
                </c:pt>
                <c:pt idx="7">
                  <c:v>MAR-20</c:v>
                </c:pt>
                <c:pt idx="8">
                  <c:v>SUSPENSION</c:v>
                </c:pt>
                <c:pt idx="9">
                  <c:v>OCT-20</c:v>
                </c:pt>
                <c:pt idx="10">
                  <c:v>NOV-20</c:v>
                </c:pt>
                <c:pt idx="11">
                  <c:v>DIC-20</c:v>
                </c:pt>
                <c:pt idx="12">
                  <c:v>ENE-21</c:v>
                </c:pt>
                <c:pt idx="13">
                  <c:v>FEB-21</c:v>
                </c:pt>
                <c:pt idx="14">
                  <c:v>MAR-21</c:v>
                </c:pt>
                <c:pt idx="15">
                  <c:v>ABR-21</c:v>
                </c:pt>
                <c:pt idx="16">
                  <c:v>MAY-21</c:v>
                </c:pt>
                <c:pt idx="17">
                  <c:v>JUN-21</c:v>
                </c:pt>
                <c:pt idx="18">
                  <c:v>JUL-21</c:v>
                </c:pt>
                <c:pt idx="19">
                  <c:v>AGO-21</c:v>
                </c:pt>
                <c:pt idx="20">
                  <c:v>SEP-21</c:v>
                </c:pt>
                <c:pt idx="21">
                  <c:v>OCT-21</c:v>
                </c:pt>
                <c:pt idx="22">
                  <c:v>NOV-21</c:v>
                </c:pt>
                <c:pt idx="23">
                  <c:v>DIC-21</c:v>
                </c:pt>
                <c:pt idx="24">
                  <c:v>ENE-22</c:v>
                </c:pt>
              </c:strCache>
            </c:strRef>
          </c:cat>
          <c:val>
            <c:numRef>
              <c:f>'FISICO-FINANCIERO'!$F$10:$F$34</c:f>
              <c:numCache>
                <c:formatCode>0.00%</c:formatCode>
                <c:ptCount val="25"/>
                <c:pt idx="0">
                  <c:v>0.13769999999999999</c:v>
                </c:pt>
                <c:pt idx="1">
                  <c:v>0.21970000000000001</c:v>
                </c:pt>
                <c:pt idx="2">
                  <c:v>0.2397</c:v>
                </c:pt>
                <c:pt idx="3">
                  <c:v>0.2797</c:v>
                </c:pt>
                <c:pt idx="4">
                  <c:v>0.38969999999999999</c:v>
                </c:pt>
                <c:pt idx="5">
                  <c:v>0.43969999999999998</c:v>
                </c:pt>
                <c:pt idx="6">
                  <c:v>0.49969999999999998</c:v>
                </c:pt>
                <c:pt idx="7">
                  <c:v>0.56969999999999998</c:v>
                </c:pt>
                <c:pt idx="8">
                  <c:v>0.56969999999999998</c:v>
                </c:pt>
                <c:pt idx="9">
                  <c:v>0.60970000000000002</c:v>
                </c:pt>
                <c:pt idx="10">
                  <c:v>0.64670000000000005</c:v>
                </c:pt>
                <c:pt idx="11">
                  <c:v>0.67669999999999997</c:v>
                </c:pt>
                <c:pt idx="12">
                  <c:v>0.7167</c:v>
                </c:pt>
                <c:pt idx="13">
                  <c:v>0.75470000000000004</c:v>
                </c:pt>
                <c:pt idx="14">
                  <c:v>0.79469999999999996</c:v>
                </c:pt>
                <c:pt idx="15">
                  <c:v>0.81469999999999998</c:v>
                </c:pt>
                <c:pt idx="16">
                  <c:v>0.8397</c:v>
                </c:pt>
                <c:pt idx="17">
                  <c:v>0.86170000000000002</c:v>
                </c:pt>
                <c:pt idx="18">
                  <c:v>0.88470000000000004</c:v>
                </c:pt>
                <c:pt idx="19">
                  <c:v>0.90869999999999995</c:v>
                </c:pt>
                <c:pt idx="20">
                  <c:v>0.92500000000000004</c:v>
                </c:pt>
                <c:pt idx="21">
                  <c:v>0.93600000000000005</c:v>
                </c:pt>
                <c:pt idx="22">
                  <c:v>0.95799999999999996</c:v>
                </c:pt>
                <c:pt idx="23">
                  <c:v>0.98089999999999999</c:v>
                </c:pt>
                <c:pt idx="2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98-4E2D-B766-48A3D6D9238B}"/>
            </c:ext>
          </c:extLst>
        </c:ser>
        <c:ser>
          <c:idx val="1"/>
          <c:order val="1"/>
          <c:tx>
            <c:strRef>
              <c:f>'FISICO-FINANCIERO'!$I$8</c:f>
              <c:strCache>
                <c:ptCount val="1"/>
                <c:pt idx="0">
                  <c:v>EJECUCION FINANCIERA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'FISICO-FINANCIERO'!$C$10:$C$34</c:f>
              <c:strCache>
                <c:ptCount val="25"/>
                <c:pt idx="0">
                  <c:v>ANTICIPO</c:v>
                </c:pt>
                <c:pt idx="1">
                  <c:v>SEP-2019</c:v>
                </c:pt>
                <c:pt idx="2">
                  <c:v>OCT-19</c:v>
                </c:pt>
                <c:pt idx="3">
                  <c:v>NOV-19</c:v>
                </c:pt>
                <c:pt idx="4">
                  <c:v>DIC-19</c:v>
                </c:pt>
                <c:pt idx="5">
                  <c:v>ENE-20</c:v>
                </c:pt>
                <c:pt idx="6">
                  <c:v>FEB-20</c:v>
                </c:pt>
                <c:pt idx="7">
                  <c:v>MAR-20</c:v>
                </c:pt>
                <c:pt idx="8">
                  <c:v>SUSPENSION</c:v>
                </c:pt>
                <c:pt idx="9">
                  <c:v>OCT-20</c:v>
                </c:pt>
                <c:pt idx="10">
                  <c:v>NOV-20</c:v>
                </c:pt>
                <c:pt idx="11">
                  <c:v>DIC-20</c:v>
                </c:pt>
                <c:pt idx="12">
                  <c:v>ENE-21</c:v>
                </c:pt>
                <c:pt idx="13">
                  <c:v>FEB-21</c:v>
                </c:pt>
                <c:pt idx="14">
                  <c:v>MAR-21</c:v>
                </c:pt>
                <c:pt idx="15">
                  <c:v>ABR-21</c:v>
                </c:pt>
                <c:pt idx="16">
                  <c:v>MAY-21</c:v>
                </c:pt>
                <c:pt idx="17">
                  <c:v>JUN-21</c:v>
                </c:pt>
                <c:pt idx="18">
                  <c:v>JUL-21</c:v>
                </c:pt>
                <c:pt idx="19">
                  <c:v>AGO-21</c:v>
                </c:pt>
                <c:pt idx="20">
                  <c:v>SEP-21</c:v>
                </c:pt>
                <c:pt idx="21">
                  <c:v>OCT-21</c:v>
                </c:pt>
                <c:pt idx="22">
                  <c:v>NOV-21</c:v>
                </c:pt>
                <c:pt idx="23">
                  <c:v>DIC-21</c:v>
                </c:pt>
                <c:pt idx="24">
                  <c:v>ENE-22</c:v>
                </c:pt>
              </c:strCache>
            </c:strRef>
          </c:cat>
          <c:val>
            <c:numRef>
              <c:f>'FISICO-FINANCIERO'!$R$10:$R$34</c:f>
              <c:numCache>
                <c:formatCode>0.00%</c:formatCode>
                <c:ptCount val="25"/>
                <c:pt idx="0">
                  <c:v>0.13769999999999999</c:v>
                </c:pt>
                <c:pt idx="1">
                  <c:v>0.13769999999999999</c:v>
                </c:pt>
                <c:pt idx="2">
                  <c:v>0.13769999999999999</c:v>
                </c:pt>
                <c:pt idx="3">
                  <c:v>0.13769999999999999</c:v>
                </c:pt>
                <c:pt idx="4">
                  <c:v>0.13769999999999999</c:v>
                </c:pt>
                <c:pt idx="5">
                  <c:v>0.22689999999999999</c:v>
                </c:pt>
                <c:pt idx="6">
                  <c:v>0.22689999999999999</c:v>
                </c:pt>
                <c:pt idx="7">
                  <c:v>0.2485</c:v>
                </c:pt>
                <c:pt idx="8">
                  <c:v>0.2485</c:v>
                </c:pt>
                <c:pt idx="9">
                  <c:v>0.2485</c:v>
                </c:pt>
                <c:pt idx="10">
                  <c:v>0.3201</c:v>
                </c:pt>
                <c:pt idx="11">
                  <c:v>0.3201</c:v>
                </c:pt>
                <c:pt idx="12">
                  <c:v>0.3201</c:v>
                </c:pt>
                <c:pt idx="13">
                  <c:v>0.3201</c:v>
                </c:pt>
                <c:pt idx="14">
                  <c:v>0.3841</c:v>
                </c:pt>
                <c:pt idx="15">
                  <c:v>0.3841</c:v>
                </c:pt>
                <c:pt idx="16">
                  <c:v>0.3841</c:v>
                </c:pt>
                <c:pt idx="17">
                  <c:v>0.45739999999999997</c:v>
                </c:pt>
                <c:pt idx="18">
                  <c:v>0.45739999999999997</c:v>
                </c:pt>
                <c:pt idx="19">
                  <c:v>0.62090000000000001</c:v>
                </c:pt>
                <c:pt idx="20">
                  <c:v>0.69750000000000001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98-4E2D-B766-48A3D6D9238B}"/>
            </c:ext>
          </c:extLst>
        </c:ser>
        <c:ser>
          <c:idx val="2"/>
          <c:order val="2"/>
          <c:tx>
            <c:strRef>
              <c:f>'FISICO-FINANCIERO'!$L$8</c:f>
              <c:strCache>
                <c:ptCount val="1"/>
                <c:pt idx="0">
                  <c:v>EJECUCION FISICA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'FISICO-FINANCIERO'!$C$10:$C$34</c:f>
              <c:strCache>
                <c:ptCount val="25"/>
                <c:pt idx="0">
                  <c:v>ANTICIPO</c:v>
                </c:pt>
                <c:pt idx="1">
                  <c:v>SEP-2019</c:v>
                </c:pt>
                <c:pt idx="2">
                  <c:v>OCT-19</c:v>
                </c:pt>
                <c:pt idx="3">
                  <c:v>NOV-19</c:v>
                </c:pt>
                <c:pt idx="4">
                  <c:v>DIC-19</c:v>
                </c:pt>
                <c:pt idx="5">
                  <c:v>ENE-20</c:v>
                </c:pt>
                <c:pt idx="6">
                  <c:v>FEB-20</c:v>
                </c:pt>
                <c:pt idx="7">
                  <c:v>MAR-20</c:v>
                </c:pt>
                <c:pt idx="8">
                  <c:v>SUSPENSION</c:v>
                </c:pt>
                <c:pt idx="9">
                  <c:v>OCT-20</c:v>
                </c:pt>
                <c:pt idx="10">
                  <c:v>NOV-20</c:v>
                </c:pt>
                <c:pt idx="11">
                  <c:v>DIC-20</c:v>
                </c:pt>
                <c:pt idx="12">
                  <c:v>ENE-21</c:v>
                </c:pt>
                <c:pt idx="13">
                  <c:v>FEB-21</c:v>
                </c:pt>
                <c:pt idx="14">
                  <c:v>MAR-21</c:v>
                </c:pt>
                <c:pt idx="15">
                  <c:v>ABR-21</c:v>
                </c:pt>
                <c:pt idx="16">
                  <c:v>MAY-21</c:v>
                </c:pt>
                <c:pt idx="17">
                  <c:v>JUN-21</c:v>
                </c:pt>
                <c:pt idx="18">
                  <c:v>JUL-21</c:v>
                </c:pt>
                <c:pt idx="19">
                  <c:v>AGO-21</c:v>
                </c:pt>
                <c:pt idx="20">
                  <c:v>SEP-21</c:v>
                </c:pt>
                <c:pt idx="21">
                  <c:v>OCT-21</c:v>
                </c:pt>
                <c:pt idx="22">
                  <c:v>NOV-21</c:v>
                </c:pt>
                <c:pt idx="23">
                  <c:v>DIC-21</c:v>
                </c:pt>
                <c:pt idx="24">
                  <c:v>ENE-22</c:v>
                </c:pt>
              </c:strCache>
            </c:strRef>
          </c:cat>
          <c:val>
            <c:numRef>
              <c:f>'FISICO-FINANCIERO'!$S$10:$S$34</c:f>
              <c:numCache>
                <c:formatCode>0.00%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0.10340000000000001</c:v>
                </c:pt>
                <c:pt idx="6">
                  <c:v>0.10340000000000001</c:v>
                </c:pt>
                <c:pt idx="7">
                  <c:v>0.12839999999999999</c:v>
                </c:pt>
                <c:pt idx="8">
                  <c:v>0.12839999999999999</c:v>
                </c:pt>
                <c:pt idx="9">
                  <c:v>0.12839999999999999</c:v>
                </c:pt>
                <c:pt idx="10">
                  <c:v>0.21149999999999999</c:v>
                </c:pt>
                <c:pt idx="11">
                  <c:v>0.21149999999999999</c:v>
                </c:pt>
                <c:pt idx="12">
                  <c:v>0.21149999999999999</c:v>
                </c:pt>
                <c:pt idx="13">
                  <c:v>0.21149999999999999</c:v>
                </c:pt>
                <c:pt idx="14">
                  <c:v>0.28570000000000001</c:v>
                </c:pt>
                <c:pt idx="15">
                  <c:v>0.28570000000000001</c:v>
                </c:pt>
                <c:pt idx="16">
                  <c:v>0.28570000000000001</c:v>
                </c:pt>
                <c:pt idx="17">
                  <c:v>0.37069999999999997</c:v>
                </c:pt>
                <c:pt idx="18">
                  <c:v>0.37069999999999997</c:v>
                </c:pt>
                <c:pt idx="19">
                  <c:v>0.56030000000000002</c:v>
                </c:pt>
                <c:pt idx="20">
                  <c:v>0.6492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98-4E2D-B766-48A3D6D92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5285104"/>
        <c:axId val="285285664"/>
      </c:lineChart>
      <c:catAx>
        <c:axId val="28528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285285664"/>
        <c:crosses val="autoZero"/>
        <c:auto val="1"/>
        <c:lblAlgn val="ctr"/>
        <c:lblOffset val="100"/>
        <c:noMultiLvlLbl val="0"/>
      </c:catAx>
      <c:valAx>
        <c:axId val="28528566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285285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19685039370078741" l="0.19685039370078741" r="0.19685039370078741" t="0.59055118110236227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Scroll" dx="22" fmlaLink="$K$15" horiz="1" max="10" page="10" val="1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32</xdr:row>
      <xdr:rowOff>49696</xdr:rowOff>
    </xdr:from>
    <xdr:to>
      <xdr:col>3</xdr:col>
      <xdr:colOff>0</xdr:colOff>
      <xdr:row>34</xdr:row>
      <xdr:rowOff>0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98174" y="6783457"/>
          <a:ext cx="1714500" cy="513521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000">
              <a:solidFill>
                <a:sysClr val="windowText" lastClr="000000"/>
              </a:solidFill>
              <a:latin typeface="Arial Black" panose="020B0A04020102020204" pitchFamily="34" charset="0"/>
            </a:rPr>
            <a:t>OPCIONES ADICIONALES</a:t>
          </a:r>
        </a:p>
      </xdr:txBody>
    </xdr:sp>
    <xdr:clientData/>
  </xdr:twoCellAnchor>
  <xdr:twoCellAnchor>
    <xdr:from>
      <xdr:col>2</xdr:col>
      <xdr:colOff>105605</xdr:colOff>
      <xdr:row>1</xdr:row>
      <xdr:rowOff>93595</xdr:rowOff>
    </xdr:from>
    <xdr:to>
      <xdr:col>2</xdr:col>
      <xdr:colOff>669479</xdr:colOff>
      <xdr:row>1</xdr:row>
      <xdr:rowOff>488674</xdr:rowOff>
    </xdr:to>
    <xdr:pic>
      <xdr:nvPicPr>
        <xdr:cNvPr id="2" name="Picture 30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403779" y="217834"/>
          <a:ext cx="563874" cy="3950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484567</xdr:colOff>
      <xdr:row>1</xdr:row>
      <xdr:rowOff>55217</xdr:rowOff>
    </xdr:from>
    <xdr:to>
      <xdr:col>11</xdr:col>
      <xdr:colOff>983317</xdr:colOff>
      <xdr:row>1</xdr:row>
      <xdr:rowOff>572288</xdr:rowOff>
    </xdr:to>
    <xdr:pic>
      <xdr:nvPicPr>
        <xdr:cNvPr id="3" name="Picture 6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51828" y="179456"/>
          <a:ext cx="498750" cy="5170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182880</xdr:colOff>
          <xdr:row>33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0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BO" sz="1000" b="0" i="0" u="none" strike="noStrike" baseline="0">
                  <a:solidFill>
                    <a:srgbClr val="000000"/>
                  </a:solidFill>
                  <a:latin typeface="Arial Black"/>
                </a:rPr>
                <a:t>ANÁLISIS PLANILLAS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33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BO" sz="1000" b="0" i="0" u="none" strike="noStrike" baseline="0">
                  <a:solidFill>
                    <a:srgbClr val="000000"/>
                  </a:solidFill>
                  <a:latin typeface="Arial Black"/>
                </a:rPr>
                <a:t>AVANCE FÍSICO FINANCIERO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33</xdr:row>
          <xdr:rowOff>0</xdr:rowOff>
        </xdr:from>
        <xdr:to>
          <xdr:col>12</xdr:col>
          <xdr:colOff>0</xdr:colOff>
          <xdr:row>34</xdr:row>
          <xdr:rowOff>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0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BO" sz="1000" b="0" i="0" u="none" strike="noStrike" baseline="0">
                  <a:solidFill>
                    <a:srgbClr val="000000"/>
                  </a:solidFill>
                  <a:latin typeface="Arial Black"/>
                </a:rPr>
                <a:t>GRÁFICA DEL AVANCE FÍSICO FINANCIERO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182216</xdr:colOff>
      <xdr:row>8</xdr:row>
      <xdr:rowOff>0</xdr:rowOff>
    </xdr:from>
    <xdr:to>
      <xdr:col>12</xdr:col>
      <xdr:colOff>0</xdr:colOff>
      <xdr:row>19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182216</xdr:colOff>
      <xdr:row>20</xdr:row>
      <xdr:rowOff>0</xdr:rowOff>
    </xdr:from>
    <xdr:to>
      <xdr:col>12</xdr:col>
      <xdr:colOff>0</xdr:colOff>
      <xdr:row>31</xdr:row>
      <xdr:rowOff>57978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0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BO" sz="1000" b="0" i="0" u="none" strike="noStrike" baseline="0">
                  <a:solidFill>
                    <a:srgbClr val="000000"/>
                  </a:solidFill>
                  <a:latin typeface="Arial Black"/>
                </a:rPr>
                <a:t>CAO Nº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14</xdr:row>
          <xdr:rowOff>0</xdr:rowOff>
        </xdr:from>
        <xdr:to>
          <xdr:col>2</xdr:col>
          <xdr:colOff>1714500</xdr:colOff>
          <xdr:row>15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0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BO" sz="1000" b="0" i="0" u="none" strike="noStrike" baseline="0">
                  <a:solidFill>
                    <a:srgbClr val="000000"/>
                  </a:solidFill>
                  <a:latin typeface="Arial Black"/>
                </a:rPr>
                <a:t>CAO Nº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16</xdr:row>
          <xdr:rowOff>0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0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BO" sz="1000" b="0" i="0" u="none" strike="noStrike" baseline="0">
                  <a:solidFill>
                    <a:srgbClr val="000000"/>
                  </a:solidFill>
                  <a:latin typeface="Arial Black"/>
                </a:rPr>
                <a:t>CAO Nº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18</xdr:row>
          <xdr:rowOff>0</xdr:rowOff>
        </xdr:from>
        <xdr:to>
          <xdr:col>3</xdr:col>
          <xdr:colOff>0</xdr:colOff>
          <xdr:row>19</xdr:row>
          <xdr:rowOff>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0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BO" sz="1000" b="0" i="0" u="none" strike="noStrike" baseline="0">
                  <a:solidFill>
                    <a:srgbClr val="000000"/>
                  </a:solidFill>
                  <a:latin typeface="Arial Black"/>
                </a:rPr>
                <a:t>CAO Nº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3</xdr:col>
          <xdr:colOff>0</xdr:colOff>
          <xdr:row>21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0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BO" sz="1000" b="0" i="0" u="none" strike="noStrike" baseline="0">
                  <a:solidFill>
                    <a:srgbClr val="000000"/>
                  </a:solidFill>
                  <a:latin typeface="Arial Black"/>
                </a:rPr>
                <a:t>CAO Nº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22</xdr:row>
          <xdr:rowOff>0</xdr:rowOff>
        </xdr:from>
        <xdr:to>
          <xdr:col>3</xdr:col>
          <xdr:colOff>0</xdr:colOff>
          <xdr:row>23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0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BO" sz="1000" b="0" i="0" u="none" strike="noStrike" baseline="0">
                  <a:solidFill>
                    <a:srgbClr val="000000"/>
                  </a:solidFill>
                  <a:latin typeface="Arial Black"/>
                </a:rPr>
                <a:t>CAO Nº 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24</xdr:row>
          <xdr:rowOff>0</xdr:rowOff>
        </xdr:from>
        <xdr:to>
          <xdr:col>3</xdr:col>
          <xdr:colOff>0</xdr:colOff>
          <xdr:row>25</xdr:row>
          <xdr:rowOff>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0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BO" sz="1000" b="0" i="0" u="none" strike="noStrike" baseline="0">
                  <a:solidFill>
                    <a:srgbClr val="000000"/>
                  </a:solidFill>
                  <a:latin typeface="Arial Black"/>
                </a:rPr>
                <a:t>CAO Nº 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26</xdr:row>
          <xdr:rowOff>0</xdr:rowOff>
        </xdr:from>
        <xdr:to>
          <xdr:col>3</xdr:col>
          <xdr:colOff>0</xdr:colOff>
          <xdr:row>27</xdr:row>
          <xdr:rowOff>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0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BO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CAO Nº 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28</xdr:row>
          <xdr:rowOff>0</xdr:rowOff>
        </xdr:from>
        <xdr:to>
          <xdr:col>3</xdr:col>
          <xdr:colOff>0</xdr:colOff>
          <xdr:row>29</xdr:row>
          <xdr:rowOff>0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0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BO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CAO Nº 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30</xdr:row>
          <xdr:rowOff>0</xdr:rowOff>
        </xdr:from>
        <xdr:to>
          <xdr:col>3</xdr:col>
          <xdr:colOff>0</xdr:colOff>
          <xdr:row>31</xdr:row>
          <xdr:rowOff>0</xdr:rowOff>
        </xdr:to>
        <xdr:sp macro="" textlink="">
          <xdr:nvSpPr>
            <xdr:cNvPr id="17440" name="Button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00000000-0008-0000-0000-00002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BO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CAO Nº 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7620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7446" name="Scroll Bar 38" hidden="1">
              <a:extLst>
                <a:ext uri="{63B3BB69-23CF-44E3-9099-C40C66FF867C}">
                  <a14:compatExt spid="_x0000_s17446"/>
                </a:ext>
                <a:ext uri="{FF2B5EF4-FFF2-40B4-BE49-F238E27FC236}">
                  <a16:creationId xmlns:a16="http://schemas.microsoft.com/office/drawing/2014/main" id="{00000000-0008-0000-0000-00002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0</xdr:colOff>
      <xdr:row>10</xdr:row>
      <xdr:rowOff>0</xdr:rowOff>
    </xdr:from>
    <xdr:to>
      <xdr:col>3</xdr:col>
      <xdr:colOff>0</xdr:colOff>
      <xdr:row>11</xdr:row>
      <xdr:rowOff>0</xdr:rowOff>
    </xdr:to>
    <xdr:sp macro="" textlink="">
      <xdr:nvSpPr>
        <xdr:cNvPr id="21" name="Rectángul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298174" y="2633870"/>
          <a:ext cx="1714500" cy="314739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000">
              <a:solidFill>
                <a:sysClr val="windowText" lastClr="000000"/>
              </a:solidFill>
              <a:latin typeface="Arial Black" panose="020B0A04020102020204" pitchFamily="34" charset="0"/>
            </a:rPr>
            <a:t>ANTICIPO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19051</xdr:rowOff>
    </xdr:from>
    <xdr:to>
      <xdr:col>0</xdr:col>
      <xdr:colOff>593534</xdr:colOff>
      <xdr:row>1</xdr:row>
      <xdr:rowOff>95250</xdr:rowOff>
    </xdr:to>
    <xdr:pic>
      <xdr:nvPicPr>
        <xdr:cNvPr id="2" name="Picture 30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47625" y="19051"/>
          <a:ext cx="545909" cy="4571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171900</xdr:colOff>
      <xdr:row>0</xdr:row>
      <xdr:rowOff>0</xdr:rowOff>
    </xdr:from>
    <xdr:to>
      <xdr:col>5</xdr:col>
      <xdr:colOff>666509</xdr:colOff>
      <xdr:row>1</xdr:row>
      <xdr:rowOff>136071</xdr:rowOff>
    </xdr:to>
    <xdr:pic>
      <xdr:nvPicPr>
        <xdr:cNvPr id="3" name="Picture 6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64686" y="0"/>
          <a:ext cx="494609" cy="5170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0</xdr:colOff>
      <xdr:row>16</xdr:row>
      <xdr:rowOff>0</xdr:rowOff>
    </xdr:from>
    <xdr:to>
      <xdr:col>15</xdr:col>
      <xdr:colOff>1045027</xdr:colOff>
      <xdr:row>35</xdr:row>
      <xdr:rowOff>0</xdr:rowOff>
    </xdr:to>
    <xdr:graphicFrame macro="">
      <xdr:nvGraphicFramePr>
        <xdr:cNvPr id="4" name="12 Gráfico" title="wfafasdfasdf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183696</xdr:colOff>
      <xdr:row>0</xdr:row>
      <xdr:rowOff>141515</xdr:rowOff>
    </xdr:from>
    <xdr:to>
      <xdr:col>8</xdr:col>
      <xdr:colOff>729605</xdr:colOff>
      <xdr:row>1</xdr:row>
      <xdr:rowOff>217714</xdr:rowOff>
    </xdr:to>
    <xdr:pic>
      <xdr:nvPicPr>
        <xdr:cNvPr id="5" name="Picture 30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8851446" y="141515"/>
          <a:ext cx="545909" cy="4571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15</xdr:col>
      <xdr:colOff>359679</xdr:colOff>
      <xdr:row>0</xdr:row>
      <xdr:rowOff>54429</xdr:rowOff>
    </xdr:from>
    <xdr:ext cx="494609" cy="517071"/>
    <xdr:pic>
      <xdr:nvPicPr>
        <xdr:cNvPr id="6" name="Picture 6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09429" y="54429"/>
          <a:ext cx="494609" cy="5170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0</xdr:col>
      <xdr:colOff>317500</xdr:colOff>
      <xdr:row>36</xdr:row>
      <xdr:rowOff>21166</xdr:rowOff>
    </xdr:from>
    <xdr:to>
      <xdr:col>2</xdr:col>
      <xdr:colOff>1397000</xdr:colOff>
      <xdr:row>46</xdr:row>
      <xdr:rowOff>21166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0</xdr:colOff>
      <xdr:row>36</xdr:row>
      <xdr:rowOff>0</xdr:rowOff>
    </xdr:from>
    <xdr:to>
      <xdr:col>6</xdr:col>
      <xdr:colOff>0</xdr:colOff>
      <xdr:row>46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102</xdr:row>
      <xdr:rowOff>0</xdr:rowOff>
    </xdr:from>
    <xdr:to>
      <xdr:col>1</xdr:col>
      <xdr:colOff>1238250</xdr:colOff>
      <xdr:row>102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123825" y="21907500"/>
          <a:ext cx="14763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1392555</xdr:colOff>
      <xdr:row>102</xdr:row>
      <xdr:rowOff>0</xdr:rowOff>
    </xdr:from>
    <xdr:to>
      <xdr:col>5</xdr:col>
      <xdr:colOff>212719</xdr:colOff>
      <xdr:row>102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>
          <a:spLocks noChangeArrowheads="1"/>
        </xdr:cNvSpPr>
      </xdr:nvSpPr>
      <xdr:spPr bwMode="auto">
        <a:xfrm>
          <a:off x="1754505" y="21907500"/>
          <a:ext cx="4220839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Lic. Demetrio Gómez C.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ENCARGADO PROYECTO 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40</xdr:col>
      <xdr:colOff>0</xdr:colOff>
      <xdr:row>102</xdr:row>
      <xdr:rowOff>0</xdr:rowOff>
    </xdr:from>
    <xdr:to>
      <xdr:col>42</xdr:col>
      <xdr:colOff>155055</xdr:colOff>
      <xdr:row>102</xdr:row>
      <xdr:rowOff>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>
          <a:spLocks noChangeArrowheads="1"/>
        </xdr:cNvSpPr>
      </xdr:nvSpPr>
      <xdr:spPr bwMode="auto">
        <a:xfrm>
          <a:off x="24926925" y="21907500"/>
          <a:ext cx="265060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Jhonny Calderon</a:t>
          </a:r>
        </a:p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SUPERVISOR DE OBRAS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42</xdr:col>
      <xdr:colOff>280035</xdr:colOff>
      <xdr:row>102</xdr:row>
      <xdr:rowOff>0</xdr:rowOff>
    </xdr:from>
    <xdr:to>
      <xdr:col>44</xdr:col>
      <xdr:colOff>0</xdr:colOff>
      <xdr:row>102</xdr:row>
      <xdr:rowOff>0</xdr:rowOff>
    </xdr:to>
    <xdr:sp macro="" textlink="">
      <xdr:nvSpPr>
        <xdr:cNvPr id="5" name="Text Box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>
          <a:spLocks noChangeArrowheads="1"/>
        </xdr:cNvSpPr>
      </xdr:nvSpPr>
      <xdr:spPr bwMode="auto">
        <a:xfrm>
          <a:off x="27702510" y="21907500"/>
          <a:ext cx="221551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Ricardo Gónzales L.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STRIO. DEPARTAMEMNTAL DE OBRAS PUBLICAS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0</xdr:col>
      <xdr:colOff>438150</xdr:colOff>
      <xdr:row>0</xdr:row>
      <xdr:rowOff>19050</xdr:rowOff>
    </xdr:from>
    <xdr:to>
      <xdr:col>0</xdr:col>
      <xdr:colOff>876300</xdr:colOff>
      <xdr:row>1</xdr:row>
      <xdr:rowOff>180975</xdr:rowOff>
    </xdr:to>
    <xdr:pic>
      <xdr:nvPicPr>
        <xdr:cNvPr id="6" name="Picture 303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361950" y="19050"/>
          <a:ext cx="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85725</xdr:colOff>
      <xdr:row>0</xdr:row>
      <xdr:rowOff>47625</xdr:rowOff>
    </xdr:from>
    <xdr:to>
      <xdr:col>1</xdr:col>
      <xdr:colOff>455084</xdr:colOff>
      <xdr:row>1</xdr:row>
      <xdr:rowOff>219075</xdr:rowOff>
    </xdr:to>
    <xdr:pic>
      <xdr:nvPicPr>
        <xdr:cNvPr id="7" name="Picture 303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85725" y="47625"/>
          <a:ext cx="729192" cy="4677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43</xdr:col>
      <xdr:colOff>87382</xdr:colOff>
      <xdr:row>0</xdr:row>
      <xdr:rowOff>24848</xdr:rowOff>
    </xdr:from>
    <xdr:to>
      <xdr:col>43</xdr:col>
      <xdr:colOff>625667</xdr:colOff>
      <xdr:row>1</xdr:row>
      <xdr:rowOff>205823</xdr:rowOff>
    </xdr:to>
    <xdr:pic>
      <xdr:nvPicPr>
        <xdr:cNvPr id="8" name="Picture 6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57632" y="24848"/>
          <a:ext cx="53257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1193036</xdr:colOff>
      <xdr:row>100</xdr:row>
      <xdr:rowOff>112608</xdr:rowOff>
    </xdr:from>
    <xdr:to>
      <xdr:col>4</xdr:col>
      <xdr:colOff>261936</xdr:colOff>
      <xdr:row>103</xdr:row>
      <xdr:rowOff>130969</xdr:rowOff>
    </xdr:to>
    <xdr:sp macro="" textlink="">
      <xdr:nvSpPr>
        <xdr:cNvPr id="9" name="Text Box 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>
          <a:spLocks noChangeArrowheads="1"/>
        </xdr:cNvSpPr>
      </xdr:nvSpPr>
      <xdr:spPr bwMode="auto">
        <a:xfrm>
          <a:off x="1554986" y="21696258"/>
          <a:ext cx="3745675" cy="5041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Univ. Juan Carlos Flores Condori</a:t>
          </a:r>
        </a:p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PASANTE UNIVALLE  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706280</xdr:colOff>
      <xdr:row>100</xdr:row>
      <xdr:rowOff>159703</xdr:rowOff>
    </xdr:from>
    <xdr:to>
      <xdr:col>16</xdr:col>
      <xdr:colOff>314696</xdr:colOff>
      <xdr:row>103</xdr:row>
      <xdr:rowOff>35719</xdr:rowOff>
    </xdr:to>
    <xdr:sp macro="" textlink="">
      <xdr:nvSpPr>
        <xdr:cNvPr id="10" name="Text Box 3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>
          <a:spLocks noChangeArrowheads="1"/>
        </xdr:cNvSpPr>
      </xdr:nvSpPr>
      <xdr:spPr bwMode="auto">
        <a:xfrm>
          <a:off x="10964705" y="21743353"/>
          <a:ext cx="3799416" cy="36179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</a:t>
          </a:r>
          <a:r>
            <a:rPr lang="es-BO" sz="900" b="0" i="0" strike="noStrike" baseline="0">
              <a:solidFill>
                <a:srgbClr val="000000"/>
              </a:solidFill>
              <a:latin typeface="Arial"/>
              <a:cs typeface="Arial"/>
            </a:rPr>
            <a:t>Francisco Victor Rojas Quenallata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37</xdr:col>
      <xdr:colOff>977395</xdr:colOff>
      <xdr:row>101</xdr:row>
      <xdr:rowOff>15153</xdr:rowOff>
    </xdr:from>
    <xdr:to>
      <xdr:col>41</xdr:col>
      <xdr:colOff>772353</xdr:colOff>
      <xdr:row>103</xdr:row>
      <xdr:rowOff>111097</xdr:rowOff>
    </xdr:to>
    <xdr:sp macro="" textlink="">
      <xdr:nvSpPr>
        <xdr:cNvPr id="11" name="Text Box 4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>
          <a:spLocks noChangeArrowheads="1"/>
        </xdr:cNvSpPr>
      </xdr:nvSpPr>
      <xdr:spPr bwMode="auto">
        <a:xfrm>
          <a:off x="23808820" y="21760728"/>
          <a:ext cx="3138233" cy="41979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 Ing. Manuel Tanuz Gonzáles</a:t>
          </a:r>
        </a:p>
        <a:p>
          <a:pPr algn="ctr" rtl="1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ea typeface="+mn-ea"/>
              <a:cs typeface="Arial"/>
            </a:rPr>
            <a:t>FISC</a:t>
          </a: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AL DE OBRA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89647</xdr:colOff>
      <xdr:row>0</xdr:row>
      <xdr:rowOff>143437</xdr:rowOff>
    </xdr:from>
    <xdr:to>
      <xdr:col>1</xdr:col>
      <xdr:colOff>815789</xdr:colOff>
      <xdr:row>5</xdr:row>
      <xdr:rowOff>93685</xdr:rowOff>
    </xdr:to>
    <xdr:pic>
      <xdr:nvPicPr>
        <xdr:cNvPr id="4" name="Picture 30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1268"/>
        <a:stretch>
          <a:fillRect/>
        </a:stretch>
      </xdr:blipFill>
      <xdr:spPr bwMode="auto">
        <a:xfrm>
          <a:off x="89647" y="143437"/>
          <a:ext cx="1430992" cy="9027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12</xdr:col>
      <xdr:colOff>259977</xdr:colOff>
      <xdr:row>0</xdr:row>
      <xdr:rowOff>53788</xdr:rowOff>
    </xdr:from>
    <xdr:ext cx="649133" cy="940358"/>
    <xdr:pic>
      <xdr:nvPicPr>
        <xdr:cNvPr id="5" name="Picture 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403977" y="53788"/>
          <a:ext cx="649133" cy="94035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11206</xdr:colOff>
      <xdr:row>2</xdr:row>
      <xdr:rowOff>71156</xdr:rowOff>
    </xdr:from>
    <xdr:to>
      <xdr:col>16</xdr:col>
      <xdr:colOff>682625</xdr:colOff>
      <xdr:row>38</xdr:row>
      <xdr:rowOff>87313</xdr:rowOff>
    </xdr:to>
    <xdr:graphicFrame macro="">
      <xdr:nvGraphicFramePr>
        <xdr:cNvPr id="2" name="12 Gráfico" title="wfafasdfasdf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101</xdr:row>
      <xdr:rowOff>0</xdr:rowOff>
    </xdr:from>
    <xdr:to>
      <xdr:col>1</xdr:col>
      <xdr:colOff>1238250</xdr:colOff>
      <xdr:row>101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>
          <a:spLocks noChangeArrowheads="1"/>
        </xdr:cNvSpPr>
      </xdr:nvSpPr>
      <xdr:spPr bwMode="auto">
        <a:xfrm>
          <a:off x="123825" y="17468850"/>
          <a:ext cx="14763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1392555</xdr:colOff>
      <xdr:row>101</xdr:row>
      <xdr:rowOff>0</xdr:rowOff>
    </xdr:from>
    <xdr:to>
      <xdr:col>5</xdr:col>
      <xdr:colOff>212749</xdr:colOff>
      <xdr:row>101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>
          <a:spLocks noChangeArrowheads="1"/>
        </xdr:cNvSpPr>
      </xdr:nvSpPr>
      <xdr:spPr bwMode="auto">
        <a:xfrm>
          <a:off x="1754505" y="17468850"/>
          <a:ext cx="4220869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Lic. Demetrio Gómez C.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ENCARGADO PROYECTO 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10</xdr:col>
      <xdr:colOff>55245</xdr:colOff>
      <xdr:row>101</xdr:row>
      <xdr:rowOff>0</xdr:rowOff>
    </xdr:from>
    <xdr:to>
      <xdr:col>13</xdr:col>
      <xdr:colOff>155053</xdr:colOff>
      <xdr:row>101</xdr:row>
      <xdr:rowOff>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>
          <a:spLocks noChangeArrowheads="1"/>
        </xdr:cNvSpPr>
      </xdr:nvSpPr>
      <xdr:spPr bwMode="auto">
        <a:xfrm>
          <a:off x="9665970" y="17468850"/>
          <a:ext cx="2490583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Jhonny Calderon</a:t>
          </a:r>
        </a:p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SUPERVISOR DE OBRAS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280035</xdr:colOff>
      <xdr:row>101</xdr:row>
      <xdr:rowOff>0</xdr:rowOff>
    </xdr:from>
    <xdr:to>
      <xdr:col>17</xdr:col>
      <xdr:colOff>234362</xdr:colOff>
      <xdr:row>101</xdr:row>
      <xdr:rowOff>0</xdr:rowOff>
    </xdr:to>
    <xdr:sp macro="" textlink="">
      <xdr:nvSpPr>
        <xdr:cNvPr id="5" name="Text Box 5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>
          <a:spLocks noChangeArrowheads="1"/>
        </xdr:cNvSpPr>
      </xdr:nvSpPr>
      <xdr:spPr bwMode="auto">
        <a:xfrm>
          <a:off x="12281535" y="17468850"/>
          <a:ext cx="3459527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Ricardo Gónzales L.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STRIO. DEPARTAMEMNTAL DE OBRAS PUBLICAS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217962</xdr:colOff>
      <xdr:row>100</xdr:row>
      <xdr:rowOff>22481</xdr:rowOff>
    </xdr:from>
    <xdr:to>
      <xdr:col>16</xdr:col>
      <xdr:colOff>311349</xdr:colOff>
      <xdr:row>103</xdr:row>
      <xdr:rowOff>23281</xdr:rowOff>
    </xdr:to>
    <xdr:sp macro="" textlink="">
      <xdr:nvSpPr>
        <xdr:cNvPr id="6" name="Text Box 1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>
          <a:spLocks noChangeArrowheads="1"/>
        </xdr:cNvSpPr>
      </xdr:nvSpPr>
      <xdr:spPr bwMode="auto">
        <a:xfrm>
          <a:off x="12219462" y="17329406"/>
          <a:ext cx="2893737" cy="638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Arq. Marcelo Arcienega Leon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SECRETARIO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DE OBRAS PUBLICAS Y SERVICIOS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438150</xdr:colOff>
      <xdr:row>0</xdr:row>
      <xdr:rowOff>19050</xdr:rowOff>
    </xdr:from>
    <xdr:to>
      <xdr:col>0</xdr:col>
      <xdr:colOff>876300</xdr:colOff>
      <xdr:row>1</xdr:row>
      <xdr:rowOff>180975</xdr:rowOff>
    </xdr:to>
    <xdr:pic>
      <xdr:nvPicPr>
        <xdr:cNvPr id="7" name="Picture 303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361950" y="19050"/>
          <a:ext cx="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85725</xdr:colOff>
      <xdr:row>0</xdr:row>
      <xdr:rowOff>47625</xdr:rowOff>
    </xdr:from>
    <xdr:to>
      <xdr:col>1</xdr:col>
      <xdr:colOff>552450</xdr:colOff>
      <xdr:row>2</xdr:row>
      <xdr:rowOff>133350</xdr:rowOff>
    </xdr:to>
    <xdr:pic>
      <xdr:nvPicPr>
        <xdr:cNvPr id="8" name="Picture 303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85725" y="47625"/>
          <a:ext cx="8286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16</xdr:col>
      <xdr:colOff>490971</xdr:colOff>
      <xdr:row>0</xdr:row>
      <xdr:rowOff>55418</xdr:rowOff>
    </xdr:from>
    <xdr:ext cx="529936" cy="698789"/>
    <xdr:pic>
      <xdr:nvPicPr>
        <xdr:cNvPr id="9" name="Picture 6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92821" y="55418"/>
          <a:ext cx="529936" cy="6987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83374</xdr:colOff>
      <xdr:row>99</xdr:row>
      <xdr:rowOff>112608</xdr:rowOff>
    </xdr:from>
    <xdr:to>
      <xdr:col>1</xdr:col>
      <xdr:colOff>1978491</xdr:colOff>
      <xdr:row>103</xdr:row>
      <xdr:rowOff>132684</xdr:rowOff>
    </xdr:to>
    <xdr:sp macro="" textlink="">
      <xdr:nvSpPr>
        <xdr:cNvPr id="10" name="Text Box 1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>
          <a:spLocks noChangeArrowheads="1"/>
        </xdr:cNvSpPr>
      </xdr:nvSpPr>
      <xdr:spPr bwMode="auto">
        <a:xfrm>
          <a:off x="445324" y="17257608"/>
          <a:ext cx="1895117" cy="8201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Victor Rocabado Cuellar. 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Superintendente de Obra   </a:t>
          </a: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EMPRESA CONSTRUCTORA CHUQUISACA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1849279</xdr:colOff>
      <xdr:row>100</xdr:row>
      <xdr:rowOff>40641</xdr:rowOff>
    </xdr:from>
    <xdr:to>
      <xdr:col>5</xdr:col>
      <xdr:colOff>255230</xdr:colOff>
      <xdr:row>103</xdr:row>
      <xdr:rowOff>50835</xdr:rowOff>
    </xdr:to>
    <xdr:sp macro="" textlink="">
      <xdr:nvSpPr>
        <xdr:cNvPr id="11" name="Text Box 3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>
          <a:spLocks noChangeArrowheads="1"/>
        </xdr:cNvSpPr>
      </xdr:nvSpPr>
      <xdr:spPr bwMode="auto">
        <a:xfrm>
          <a:off x="2211229" y="17347566"/>
          <a:ext cx="3806626" cy="6483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Eri</a:t>
          </a:r>
          <a:r>
            <a:rPr lang="en-US" sz="900" b="0" i="0" strike="noStrike" baseline="0">
              <a:solidFill>
                <a:srgbClr val="000000"/>
              </a:solidFill>
              <a:latin typeface="Arial"/>
              <a:cs typeface="Arial"/>
            </a:rPr>
            <a:t>c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k Ortuño Cuellar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n-US" sz="900" b="1" i="0" strike="noStrike" baseline="0">
              <a:solidFill>
                <a:srgbClr val="000000"/>
              </a:solidFill>
              <a:latin typeface="Arial"/>
              <a:cs typeface="Arial"/>
            </a:rPr>
            <a:t>GERENTE DE SUPERVISION  "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ECCORT"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202302</xdr:colOff>
      <xdr:row>100</xdr:row>
      <xdr:rowOff>30395</xdr:rowOff>
    </xdr:from>
    <xdr:to>
      <xdr:col>9</xdr:col>
      <xdr:colOff>11672</xdr:colOff>
      <xdr:row>102</xdr:row>
      <xdr:rowOff>92595</xdr:rowOff>
    </xdr:to>
    <xdr:sp macro="" textlink="">
      <xdr:nvSpPr>
        <xdr:cNvPr id="12" name="Text Box 4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>
          <a:spLocks noChangeArrowheads="1"/>
        </xdr:cNvSpPr>
      </xdr:nvSpPr>
      <xdr:spPr bwMode="auto">
        <a:xfrm>
          <a:off x="6917427" y="17337320"/>
          <a:ext cx="2123945" cy="386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 Ing. Manuel Tanuz Gonzáles</a:t>
          </a:r>
        </a:p>
        <a:p>
          <a:pPr algn="ctr" rtl="1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ea typeface="+mn-ea"/>
              <a:cs typeface="Arial"/>
            </a:rPr>
            <a:t>FISC</a:t>
          </a: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AL DE OBRA</a:t>
          </a:r>
        </a:p>
      </xdr:txBody>
    </xdr:sp>
    <xdr:clientData/>
  </xdr:twoCellAnchor>
  <xdr:twoCellAnchor>
    <xdr:from>
      <xdr:col>9</xdr:col>
      <xdr:colOff>188357</xdr:colOff>
      <xdr:row>100</xdr:row>
      <xdr:rowOff>27146</xdr:rowOff>
    </xdr:from>
    <xdr:to>
      <xdr:col>13</xdr:col>
      <xdr:colOff>76039</xdr:colOff>
      <xdr:row>103</xdr:row>
      <xdr:rowOff>43545</xdr:rowOff>
    </xdr:to>
    <xdr:sp macro="" textlink="">
      <xdr:nvSpPr>
        <xdr:cNvPr id="13" name="Text Box 1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 txBox="1">
          <a:spLocks noChangeArrowheads="1"/>
        </xdr:cNvSpPr>
      </xdr:nvSpPr>
      <xdr:spPr bwMode="auto">
        <a:xfrm>
          <a:off x="9218057" y="17334071"/>
          <a:ext cx="2859482" cy="6545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BO" sz="900">
              <a:effectLst/>
              <a:latin typeface="Arial" pitchFamily="34" charset="0"/>
              <a:cs typeface="Arial" pitchFamily="34" charset="0"/>
            </a:rPr>
            <a:t>Arq. Edzon Reynaldo Copa Rojas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DIRECTOR</a:t>
          </a:r>
          <a:r>
            <a:rPr lang="es-ES" sz="900" b="1" i="0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 DE INFRAESTRUCTURA</a:t>
          </a:r>
        </a:p>
        <a:p>
          <a:pPr algn="ctr" rtl="0">
            <a:defRPr sz="1000"/>
          </a:pPr>
          <a:r>
            <a:rPr lang="es-ES" sz="1050" b="1" i="0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endParaRPr lang="es-ES" sz="105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101</xdr:row>
      <xdr:rowOff>0</xdr:rowOff>
    </xdr:from>
    <xdr:to>
      <xdr:col>1</xdr:col>
      <xdr:colOff>1238250</xdr:colOff>
      <xdr:row>101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>
          <a:spLocks noChangeArrowheads="1"/>
        </xdr:cNvSpPr>
      </xdr:nvSpPr>
      <xdr:spPr bwMode="auto">
        <a:xfrm>
          <a:off x="123825" y="17306925"/>
          <a:ext cx="14763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1392555</xdr:colOff>
      <xdr:row>101</xdr:row>
      <xdr:rowOff>0</xdr:rowOff>
    </xdr:from>
    <xdr:to>
      <xdr:col>5</xdr:col>
      <xdr:colOff>212749</xdr:colOff>
      <xdr:row>101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>
          <a:spLocks noChangeArrowheads="1"/>
        </xdr:cNvSpPr>
      </xdr:nvSpPr>
      <xdr:spPr bwMode="auto">
        <a:xfrm>
          <a:off x="1754505" y="17306925"/>
          <a:ext cx="4220869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Lic. Demetrio Gómez C.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ENCARGADO PROYECTO 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10</xdr:col>
      <xdr:colOff>55245</xdr:colOff>
      <xdr:row>101</xdr:row>
      <xdr:rowOff>0</xdr:rowOff>
    </xdr:from>
    <xdr:to>
      <xdr:col>13</xdr:col>
      <xdr:colOff>155053</xdr:colOff>
      <xdr:row>101</xdr:row>
      <xdr:rowOff>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>
          <a:spLocks noChangeArrowheads="1"/>
        </xdr:cNvSpPr>
      </xdr:nvSpPr>
      <xdr:spPr bwMode="auto">
        <a:xfrm>
          <a:off x="9665970" y="17306925"/>
          <a:ext cx="2490583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Jhonny Calderon</a:t>
          </a:r>
        </a:p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SUPERVISOR DE OBRAS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280035</xdr:colOff>
      <xdr:row>101</xdr:row>
      <xdr:rowOff>0</xdr:rowOff>
    </xdr:from>
    <xdr:to>
      <xdr:col>17</xdr:col>
      <xdr:colOff>234362</xdr:colOff>
      <xdr:row>101</xdr:row>
      <xdr:rowOff>0</xdr:rowOff>
    </xdr:to>
    <xdr:sp macro="" textlink="">
      <xdr:nvSpPr>
        <xdr:cNvPr id="5" name="Text Box 5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>
          <a:spLocks noChangeArrowheads="1"/>
        </xdr:cNvSpPr>
      </xdr:nvSpPr>
      <xdr:spPr bwMode="auto">
        <a:xfrm>
          <a:off x="12281535" y="17306925"/>
          <a:ext cx="3459527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Ricardo Gónzales L.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STRIO. DEPARTAMEMNTAL DE OBRAS PUBLICAS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217962</xdr:colOff>
      <xdr:row>100</xdr:row>
      <xdr:rowOff>22481</xdr:rowOff>
    </xdr:from>
    <xdr:to>
      <xdr:col>16</xdr:col>
      <xdr:colOff>311349</xdr:colOff>
      <xdr:row>103</xdr:row>
      <xdr:rowOff>23281</xdr:rowOff>
    </xdr:to>
    <xdr:sp macro="" textlink="">
      <xdr:nvSpPr>
        <xdr:cNvPr id="6" name="Text Box 1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>
          <a:spLocks noChangeArrowheads="1"/>
        </xdr:cNvSpPr>
      </xdr:nvSpPr>
      <xdr:spPr bwMode="auto">
        <a:xfrm>
          <a:off x="12219462" y="17167481"/>
          <a:ext cx="2893737" cy="638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Arq. Marcelo Arcienega Leon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SECRETARIO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DE OBRAS PUBLICAS Y SERVICIOS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438150</xdr:colOff>
      <xdr:row>0</xdr:row>
      <xdr:rowOff>19050</xdr:rowOff>
    </xdr:from>
    <xdr:to>
      <xdr:col>0</xdr:col>
      <xdr:colOff>876300</xdr:colOff>
      <xdr:row>1</xdr:row>
      <xdr:rowOff>180975</xdr:rowOff>
    </xdr:to>
    <xdr:pic>
      <xdr:nvPicPr>
        <xdr:cNvPr id="7" name="Picture 303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361950" y="19050"/>
          <a:ext cx="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85725</xdr:colOff>
      <xdr:row>0</xdr:row>
      <xdr:rowOff>47625</xdr:rowOff>
    </xdr:from>
    <xdr:to>
      <xdr:col>1</xdr:col>
      <xdr:colOff>552450</xdr:colOff>
      <xdr:row>2</xdr:row>
      <xdr:rowOff>133350</xdr:rowOff>
    </xdr:to>
    <xdr:pic>
      <xdr:nvPicPr>
        <xdr:cNvPr id="8" name="Picture 303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85725" y="47625"/>
          <a:ext cx="8286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16</xdr:col>
      <xdr:colOff>490971</xdr:colOff>
      <xdr:row>0</xdr:row>
      <xdr:rowOff>55418</xdr:rowOff>
    </xdr:from>
    <xdr:ext cx="529936" cy="698789"/>
    <xdr:pic>
      <xdr:nvPicPr>
        <xdr:cNvPr id="9" name="Picture 6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92821" y="55418"/>
          <a:ext cx="529936" cy="6987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83374</xdr:colOff>
      <xdr:row>99</xdr:row>
      <xdr:rowOff>112608</xdr:rowOff>
    </xdr:from>
    <xdr:to>
      <xdr:col>1</xdr:col>
      <xdr:colOff>1978491</xdr:colOff>
      <xdr:row>103</xdr:row>
      <xdr:rowOff>132684</xdr:rowOff>
    </xdr:to>
    <xdr:sp macro="" textlink="">
      <xdr:nvSpPr>
        <xdr:cNvPr id="10" name="Text Box 1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>
          <a:spLocks noChangeArrowheads="1"/>
        </xdr:cNvSpPr>
      </xdr:nvSpPr>
      <xdr:spPr bwMode="auto">
        <a:xfrm>
          <a:off x="445324" y="17095683"/>
          <a:ext cx="1895117" cy="8201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Victor Rocabado Cuellar. 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Superintendente de Obra   </a:t>
          </a: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EMPRESA CONSTRUCTORA CHUQUISACA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1849279</xdr:colOff>
      <xdr:row>100</xdr:row>
      <xdr:rowOff>40641</xdr:rowOff>
    </xdr:from>
    <xdr:to>
      <xdr:col>5</xdr:col>
      <xdr:colOff>255230</xdr:colOff>
      <xdr:row>103</xdr:row>
      <xdr:rowOff>50835</xdr:rowOff>
    </xdr:to>
    <xdr:sp macro="" textlink="">
      <xdr:nvSpPr>
        <xdr:cNvPr id="11" name="Text Box 3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 txBox="1">
          <a:spLocks noChangeArrowheads="1"/>
        </xdr:cNvSpPr>
      </xdr:nvSpPr>
      <xdr:spPr bwMode="auto">
        <a:xfrm>
          <a:off x="2211229" y="17185641"/>
          <a:ext cx="3806626" cy="6483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Eri</a:t>
          </a:r>
          <a:r>
            <a:rPr lang="en-US" sz="900" b="0" i="0" strike="noStrike" baseline="0">
              <a:solidFill>
                <a:srgbClr val="000000"/>
              </a:solidFill>
              <a:latin typeface="Arial"/>
              <a:cs typeface="Arial"/>
            </a:rPr>
            <a:t>c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k Ortuño Cuellar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n-US" sz="900" b="1" i="0" strike="noStrike" baseline="0">
              <a:solidFill>
                <a:srgbClr val="000000"/>
              </a:solidFill>
              <a:latin typeface="Arial"/>
              <a:cs typeface="Arial"/>
            </a:rPr>
            <a:t>GERENTE DE SUPERVISION  "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ECCORT"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202302</xdr:colOff>
      <xdr:row>100</xdr:row>
      <xdr:rowOff>30395</xdr:rowOff>
    </xdr:from>
    <xdr:to>
      <xdr:col>9</xdr:col>
      <xdr:colOff>11672</xdr:colOff>
      <xdr:row>102</xdr:row>
      <xdr:rowOff>92595</xdr:rowOff>
    </xdr:to>
    <xdr:sp macro="" textlink="">
      <xdr:nvSpPr>
        <xdr:cNvPr id="12" name="Text Box 4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 txBox="1">
          <a:spLocks noChangeArrowheads="1"/>
        </xdr:cNvSpPr>
      </xdr:nvSpPr>
      <xdr:spPr bwMode="auto">
        <a:xfrm>
          <a:off x="6917427" y="17175395"/>
          <a:ext cx="2123945" cy="386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 Ing. Manuel Tanuz Gonzáles</a:t>
          </a:r>
        </a:p>
        <a:p>
          <a:pPr algn="ctr" rtl="1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ea typeface="+mn-ea"/>
              <a:cs typeface="Arial"/>
            </a:rPr>
            <a:t>FISC</a:t>
          </a: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AL DE OBRA</a:t>
          </a:r>
        </a:p>
      </xdr:txBody>
    </xdr:sp>
    <xdr:clientData/>
  </xdr:twoCellAnchor>
  <xdr:twoCellAnchor>
    <xdr:from>
      <xdr:col>9</xdr:col>
      <xdr:colOff>188357</xdr:colOff>
      <xdr:row>100</xdr:row>
      <xdr:rowOff>27146</xdr:rowOff>
    </xdr:from>
    <xdr:to>
      <xdr:col>13</xdr:col>
      <xdr:colOff>76039</xdr:colOff>
      <xdr:row>103</xdr:row>
      <xdr:rowOff>43545</xdr:rowOff>
    </xdr:to>
    <xdr:sp macro="" textlink="">
      <xdr:nvSpPr>
        <xdr:cNvPr id="13" name="Text Box 1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 txBox="1">
          <a:spLocks noChangeArrowheads="1"/>
        </xdr:cNvSpPr>
      </xdr:nvSpPr>
      <xdr:spPr bwMode="auto">
        <a:xfrm>
          <a:off x="9218057" y="17172146"/>
          <a:ext cx="2859482" cy="6545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BO" sz="900">
              <a:effectLst/>
              <a:latin typeface="Arial" pitchFamily="34" charset="0"/>
              <a:cs typeface="Arial" pitchFamily="34" charset="0"/>
            </a:rPr>
            <a:t>Arq. Edzon Reynaldo Copa Rojas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DIRECTOR</a:t>
          </a:r>
          <a:r>
            <a:rPr lang="es-ES" sz="900" b="1" i="0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 DE INFRAESTRUCTURA</a:t>
          </a:r>
        </a:p>
        <a:p>
          <a:pPr algn="ctr" rtl="0">
            <a:defRPr sz="1000"/>
          </a:pPr>
          <a:r>
            <a:rPr lang="es-ES" sz="1050" b="1" i="0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endParaRPr lang="es-ES" sz="105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101</xdr:row>
      <xdr:rowOff>0</xdr:rowOff>
    </xdr:from>
    <xdr:to>
      <xdr:col>1</xdr:col>
      <xdr:colOff>1238250</xdr:colOff>
      <xdr:row>101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>
          <a:spLocks noChangeArrowheads="1"/>
        </xdr:cNvSpPr>
      </xdr:nvSpPr>
      <xdr:spPr bwMode="auto">
        <a:xfrm>
          <a:off x="123825" y="17306925"/>
          <a:ext cx="14763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1392555</xdr:colOff>
      <xdr:row>101</xdr:row>
      <xdr:rowOff>0</xdr:rowOff>
    </xdr:from>
    <xdr:to>
      <xdr:col>5</xdr:col>
      <xdr:colOff>212749</xdr:colOff>
      <xdr:row>101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>
          <a:spLocks noChangeArrowheads="1"/>
        </xdr:cNvSpPr>
      </xdr:nvSpPr>
      <xdr:spPr bwMode="auto">
        <a:xfrm>
          <a:off x="1754505" y="17306925"/>
          <a:ext cx="4220869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Lic. Demetrio Gómez C.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ENCARGADO PROYECTO 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10</xdr:col>
      <xdr:colOff>55245</xdr:colOff>
      <xdr:row>101</xdr:row>
      <xdr:rowOff>0</xdr:rowOff>
    </xdr:from>
    <xdr:to>
      <xdr:col>13</xdr:col>
      <xdr:colOff>155053</xdr:colOff>
      <xdr:row>101</xdr:row>
      <xdr:rowOff>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>
          <a:spLocks noChangeArrowheads="1"/>
        </xdr:cNvSpPr>
      </xdr:nvSpPr>
      <xdr:spPr bwMode="auto">
        <a:xfrm>
          <a:off x="9665970" y="17306925"/>
          <a:ext cx="2490583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Jhonny Calderon</a:t>
          </a:r>
        </a:p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SUPERVISOR DE OBRAS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280035</xdr:colOff>
      <xdr:row>101</xdr:row>
      <xdr:rowOff>0</xdr:rowOff>
    </xdr:from>
    <xdr:to>
      <xdr:col>17</xdr:col>
      <xdr:colOff>234362</xdr:colOff>
      <xdr:row>101</xdr:row>
      <xdr:rowOff>0</xdr:rowOff>
    </xdr:to>
    <xdr:sp macro="" textlink="">
      <xdr:nvSpPr>
        <xdr:cNvPr id="5" name="Text Box 5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>
          <a:spLocks noChangeArrowheads="1"/>
        </xdr:cNvSpPr>
      </xdr:nvSpPr>
      <xdr:spPr bwMode="auto">
        <a:xfrm>
          <a:off x="12281535" y="17306925"/>
          <a:ext cx="3459527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Ricardo Gónzales L.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STRIO. DEPARTAMEMNTAL DE OBRAS PUBLICAS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217962</xdr:colOff>
      <xdr:row>100</xdr:row>
      <xdr:rowOff>22481</xdr:rowOff>
    </xdr:from>
    <xdr:to>
      <xdr:col>16</xdr:col>
      <xdr:colOff>311349</xdr:colOff>
      <xdr:row>103</xdr:row>
      <xdr:rowOff>23281</xdr:rowOff>
    </xdr:to>
    <xdr:sp macro="" textlink="">
      <xdr:nvSpPr>
        <xdr:cNvPr id="6" name="Text Box 1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>
          <a:spLocks noChangeArrowheads="1"/>
        </xdr:cNvSpPr>
      </xdr:nvSpPr>
      <xdr:spPr bwMode="auto">
        <a:xfrm>
          <a:off x="12219462" y="17167481"/>
          <a:ext cx="2893737" cy="638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Arq. Marcelo Arcienega Leon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SECRETARIO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DE OBRAS PUBLICAS Y SERVICIOS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438150</xdr:colOff>
      <xdr:row>0</xdr:row>
      <xdr:rowOff>19050</xdr:rowOff>
    </xdr:from>
    <xdr:to>
      <xdr:col>0</xdr:col>
      <xdr:colOff>876300</xdr:colOff>
      <xdr:row>1</xdr:row>
      <xdr:rowOff>180975</xdr:rowOff>
    </xdr:to>
    <xdr:pic>
      <xdr:nvPicPr>
        <xdr:cNvPr id="7" name="Picture 303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361950" y="19050"/>
          <a:ext cx="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85725</xdr:colOff>
      <xdr:row>0</xdr:row>
      <xdr:rowOff>47625</xdr:rowOff>
    </xdr:from>
    <xdr:to>
      <xdr:col>1</xdr:col>
      <xdr:colOff>552450</xdr:colOff>
      <xdr:row>2</xdr:row>
      <xdr:rowOff>133350</xdr:rowOff>
    </xdr:to>
    <xdr:pic>
      <xdr:nvPicPr>
        <xdr:cNvPr id="8" name="Picture 303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85725" y="47625"/>
          <a:ext cx="8286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16</xdr:col>
      <xdr:colOff>490971</xdr:colOff>
      <xdr:row>0</xdr:row>
      <xdr:rowOff>55418</xdr:rowOff>
    </xdr:from>
    <xdr:ext cx="529936" cy="698789"/>
    <xdr:pic>
      <xdr:nvPicPr>
        <xdr:cNvPr id="9" name="Picture 6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92821" y="55418"/>
          <a:ext cx="529936" cy="6987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83374</xdr:colOff>
      <xdr:row>99</xdr:row>
      <xdr:rowOff>112608</xdr:rowOff>
    </xdr:from>
    <xdr:to>
      <xdr:col>1</xdr:col>
      <xdr:colOff>1978491</xdr:colOff>
      <xdr:row>103</xdr:row>
      <xdr:rowOff>132684</xdr:rowOff>
    </xdr:to>
    <xdr:sp macro="" textlink="">
      <xdr:nvSpPr>
        <xdr:cNvPr id="10" name="Text Box 1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>
          <a:spLocks noChangeArrowheads="1"/>
        </xdr:cNvSpPr>
      </xdr:nvSpPr>
      <xdr:spPr bwMode="auto">
        <a:xfrm>
          <a:off x="445324" y="17095683"/>
          <a:ext cx="1895117" cy="8201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Victor Rocabado Cuellar. 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Superintendente de Obra   </a:t>
          </a: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EMPRESA CONSTRUCTORA CHUQUISACA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1849279</xdr:colOff>
      <xdr:row>100</xdr:row>
      <xdr:rowOff>40641</xdr:rowOff>
    </xdr:from>
    <xdr:to>
      <xdr:col>5</xdr:col>
      <xdr:colOff>255230</xdr:colOff>
      <xdr:row>103</xdr:row>
      <xdr:rowOff>50835</xdr:rowOff>
    </xdr:to>
    <xdr:sp macro="" textlink="">
      <xdr:nvSpPr>
        <xdr:cNvPr id="11" name="Text Box 3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>
          <a:spLocks noChangeArrowheads="1"/>
        </xdr:cNvSpPr>
      </xdr:nvSpPr>
      <xdr:spPr bwMode="auto">
        <a:xfrm>
          <a:off x="2211229" y="17185641"/>
          <a:ext cx="3806626" cy="6483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Eri</a:t>
          </a:r>
          <a:r>
            <a:rPr lang="en-US" sz="900" b="0" i="0" strike="noStrike" baseline="0">
              <a:solidFill>
                <a:srgbClr val="000000"/>
              </a:solidFill>
              <a:latin typeface="Arial"/>
              <a:cs typeface="Arial"/>
            </a:rPr>
            <a:t>c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k Ortuño Cuellar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n-US" sz="900" b="1" i="0" strike="noStrike" baseline="0">
              <a:solidFill>
                <a:srgbClr val="000000"/>
              </a:solidFill>
              <a:latin typeface="Arial"/>
              <a:cs typeface="Arial"/>
            </a:rPr>
            <a:t>GERENTE DE SUPERVISION  "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ECCORT"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202302</xdr:colOff>
      <xdr:row>100</xdr:row>
      <xdr:rowOff>30395</xdr:rowOff>
    </xdr:from>
    <xdr:to>
      <xdr:col>9</xdr:col>
      <xdr:colOff>11672</xdr:colOff>
      <xdr:row>102</xdr:row>
      <xdr:rowOff>92595</xdr:rowOff>
    </xdr:to>
    <xdr:sp macro="" textlink="">
      <xdr:nvSpPr>
        <xdr:cNvPr id="12" name="Text Box 4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>
          <a:spLocks noChangeArrowheads="1"/>
        </xdr:cNvSpPr>
      </xdr:nvSpPr>
      <xdr:spPr bwMode="auto">
        <a:xfrm>
          <a:off x="6917427" y="17175395"/>
          <a:ext cx="2123945" cy="386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 Ing. Manuel Tanuz Gonzáles</a:t>
          </a:r>
        </a:p>
        <a:p>
          <a:pPr algn="ctr" rtl="1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ea typeface="+mn-ea"/>
              <a:cs typeface="Arial"/>
            </a:rPr>
            <a:t>FISC</a:t>
          </a: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AL DE OBRA</a:t>
          </a:r>
        </a:p>
      </xdr:txBody>
    </xdr:sp>
    <xdr:clientData/>
  </xdr:twoCellAnchor>
  <xdr:twoCellAnchor>
    <xdr:from>
      <xdr:col>9</xdr:col>
      <xdr:colOff>188357</xdr:colOff>
      <xdr:row>100</xdr:row>
      <xdr:rowOff>27146</xdr:rowOff>
    </xdr:from>
    <xdr:to>
      <xdr:col>13</xdr:col>
      <xdr:colOff>76039</xdr:colOff>
      <xdr:row>103</xdr:row>
      <xdr:rowOff>43545</xdr:rowOff>
    </xdr:to>
    <xdr:sp macro="" textlink="">
      <xdr:nvSpPr>
        <xdr:cNvPr id="13" name="Text Box 11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>
          <a:spLocks noChangeArrowheads="1"/>
        </xdr:cNvSpPr>
      </xdr:nvSpPr>
      <xdr:spPr bwMode="auto">
        <a:xfrm>
          <a:off x="9218057" y="17172146"/>
          <a:ext cx="2859482" cy="6545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BO" sz="900">
              <a:effectLst/>
              <a:latin typeface="Arial" pitchFamily="34" charset="0"/>
              <a:cs typeface="Arial" pitchFamily="34" charset="0"/>
            </a:rPr>
            <a:t>Arq. Edzon Reynaldo Copa Rojas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DIRECTOR</a:t>
          </a:r>
          <a:r>
            <a:rPr lang="es-ES" sz="900" b="1" i="0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 DE INFRAESTRUCTURA</a:t>
          </a:r>
        </a:p>
        <a:p>
          <a:pPr algn="ctr" rtl="0">
            <a:defRPr sz="1000"/>
          </a:pPr>
          <a:r>
            <a:rPr lang="es-ES" sz="1050" b="1" i="0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endParaRPr lang="es-ES" sz="105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101</xdr:row>
      <xdr:rowOff>0</xdr:rowOff>
    </xdr:from>
    <xdr:to>
      <xdr:col>1</xdr:col>
      <xdr:colOff>1238250</xdr:colOff>
      <xdr:row>101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23825" y="17306925"/>
          <a:ext cx="14763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1392555</xdr:colOff>
      <xdr:row>101</xdr:row>
      <xdr:rowOff>0</xdr:rowOff>
    </xdr:from>
    <xdr:to>
      <xdr:col>5</xdr:col>
      <xdr:colOff>212749</xdr:colOff>
      <xdr:row>101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>
          <a:spLocks noChangeArrowheads="1"/>
        </xdr:cNvSpPr>
      </xdr:nvSpPr>
      <xdr:spPr bwMode="auto">
        <a:xfrm>
          <a:off x="1754505" y="17306925"/>
          <a:ext cx="4220869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Lic. Demetrio Gómez C.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ENCARGADO PROYECTO 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10</xdr:col>
      <xdr:colOff>55245</xdr:colOff>
      <xdr:row>101</xdr:row>
      <xdr:rowOff>0</xdr:rowOff>
    </xdr:from>
    <xdr:to>
      <xdr:col>13</xdr:col>
      <xdr:colOff>155053</xdr:colOff>
      <xdr:row>101</xdr:row>
      <xdr:rowOff>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>
          <a:spLocks noChangeArrowheads="1"/>
        </xdr:cNvSpPr>
      </xdr:nvSpPr>
      <xdr:spPr bwMode="auto">
        <a:xfrm>
          <a:off x="9665970" y="17306925"/>
          <a:ext cx="2490583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Jhonny Calderon</a:t>
          </a:r>
        </a:p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SUPERVISOR DE OBRAS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280035</xdr:colOff>
      <xdr:row>101</xdr:row>
      <xdr:rowOff>0</xdr:rowOff>
    </xdr:from>
    <xdr:to>
      <xdr:col>17</xdr:col>
      <xdr:colOff>234362</xdr:colOff>
      <xdr:row>101</xdr:row>
      <xdr:rowOff>0</xdr:rowOff>
    </xdr:to>
    <xdr:sp macro="" textlink="">
      <xdr:nvSpPr>
        <xdr:cNvPr id="5" name="Text Box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>
          <a:spLocks noChangeArrowheads="1"/>
        </xdr:cNvSpPr>
      </xdr:nvSpPr>
      <xdr:spPr bwMode="auto">
        <a:xfrm>
          <a:off x="12281535" y="17306925"/>
          <a:ext cx="3459527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Ricardo Gónzales L.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STRIO. DEPARTAMEMNTAL DE OBRAS PUBLICAS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217962</xdr:colOff>
      <xdr:row>100</xdr:row>
      <xdr:rowOff>22481</xdr:rowOff>
    </xdr:from>
    <xdr:to>
      <xdr:col>16</xdr:col>
      <xdr:colOff>311349</xdr:colOff>
      <xdr:row>103</xdr:row>
      <xdr:rowOff>23281</xdr:rowOff>
    </xdr:to>
    <xdr:sp macro="" textlink="">
      <xdr:nvSpPr>
        <xdr:cNvPr id="6" name="Text Box 1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>
          <a:spLocks noChangeArrowheads="1"/>
        </xdr:cNvSpPr>
      </xdr:nvSpPr>
      <xdr:spPr bwMode="auto">
        <a:xfrm>
          <a:off x="12219462" y="17167481"/>
          <a:ext cx="2893737" cy="638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Arq. Marcelo Arcienega Leon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SECRETARIO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DE OBRAS PUBLICAS Y SERVICIOS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438150</xdr:colOff>
      <xdr:row>0</xdr:row>
      <xdr:rowOff>19050</xdr:rowOff>
    </xdr:from>
    <xdr:to>
      <xdr:col>0</xdr:col>
      <xdr:colOff>876300</xdr:colOff>
      <xdr:row>1</xdr:row>
      <xdr:rowOff>180975</xdr:rowOff>
    </xdr:to>
    <xdr:pic>
      <xdr:nvPicPr>
        <xdr:cNvPr id="7" name="Picture 303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361950" y="19050"/>
          <a:ext cx="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85725</xdr:colOff>
      <xdr:row>0</xdr:row>
      <xdr:rowOff>47625</xdr:rowOff>
    </xdr:from>
    <xdr:to>
      <xdr:col>1</xdr:col>
      <xdr:colOff>552450</xdr:colOff>
      <xdr:row>2</xdr:row>
      <xdr:rowOff>133350</xdr:rowOff>
    </xdr:to>
    <xdr:pic>
      <xdr:nvPicPr>
        <xdr:cNvPr id="8" name="Picture 303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85725" y="47625"/>
          <a:ext cx="8286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16</xdr:col>
      <xdr:colOff>490971</xdr:colOff>
      <xdr:row>0</xdr:row>
      <xdr:rowOff>55418</xdr:rowOff>
    </xdr:from>
    <xdr:ext cx="529936" cy="698789"/>
    <xdr:pic>
      <xdr:nvPicPr>
        <xdr:cNvPr id="9" name="Picture 6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92821" y="55418"/>
          <a:ext cx="529936" cy="6987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83374</xdr:colOff>
      <xdr:row>99</xdr:row>
      <xdr:rowOff>112608</xdr:rowOff>
    </xdr:from>
    <xdr:to>
      <xdr:col>1</xdr:col>
      <xdr:colOff>1978491</xdr:colOff>
      <xdr:row>103</xdr:row>
      <xdr:rowOff>132684</xdr:rowOff>
    </xdr:to>
    <xdr:sp macro="" textlink="">
      <xdr:nvSpPr>
        <xdr:cNvPr id="10" name="Text Box 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 txBox="1">
          <a:spLocks noChangeArrowheads="1"/>
        </xdr:cNvSpPr>
      </xdr:nvSpPr>
      <xdr:spPr bwMode="auto">
        <a:xfrm>
          <a:off x="445324" y="17095683"/>
          <a:ext cx="1895117" cy="8201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Victor Rocabado Cuellar. 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Superintendente de Obra   </a:t>
          </a: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EMPRESA CONSTRUCTORA CHUQUISACA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1849279</xdr:colOff>
      <xdr:row>100</xdr:row>
      <xdr:rowOff>40641</xdr:rowOff>
    </xdr:from>
    <xdr:to>
      <xdr:col>5</xdr:col>
      <xdr:colOff>255230</xdr:colOff>
      <xdr:row>103</xdr:row>
      <xdr:rowOff>50835</xdr:rowOff>
    </xdr:to>
    <xdr:sp macro="" textlink="">
      <xdr:nvSpPr>
        <xdr:cNvPr id="11" name="Text Box 3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 txBox="1">
          <a:spLocks noChangeArrowheads="1"/>
        </xdr:cNvSpPr>
      </xdr:nvSpPr>
      <xdr:spPr bwMode="auto">
        <a:xfrm>
          <a:off x="2211229" y="17185641"/>
          <a:ext cx="3806626" cy="6483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Eri</a:t>
          </a:r>
          <a:r>
            <a:rPr lang="en-US" sz="900" b="0" i="0" strike="noStrike" baseline="0">
              <a:solidFill>
                <a:srgbClr val="000000"/>
              </a:solidFill>
              <a:latin typeface="Arial"/>
              <a:cs typeface="Arial"/>
            </a:rPr>
            <a:t>c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k Ortuño Cuellar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n-US" sz="900" b="1" i="0" strike="noStrike" baseline="0">
              <a:solidFill>
                <a:srgbClr val="000000"/>
              </a:solidFill>
              <a:latin typeface="Arial"/>
              <a:cs typeface="Arial"/>
            </a:rPr>
            <a:t>GERENTE DE SUPERVISION  "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ECCORT"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202302</xdr:colOff>
      <xdr:row>100</xdr:row>
      <xdr:rowOff>30395</xdr:rowOff>
    </xdr:from>
    <xdr:to>
      <xdr:col>9</xdr:col>
      <xdr:colOff>11672</xdr:colOff>
      <xdr:row>102</xdr:row>
      <xdr:rowOff>92595</xdr:rowOff>
    </xdr:to>
    <xdr:sp macro="" textlink="">
      <xdr:nvSpPr>
        <xdr:cNvPr id="12" name="Text Box 4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 txBox="1">
          <a:spLocks noChangeArrowheads="1"/>
        </xdr:cNvSpPr>
      </xdr:nvSpPr>
      <xdr:spPr bwMode="auto">
        <a:xfrm>
          <a:off x="6917427" y="17175395"/>
          <a:ext cx="2123945" cy="386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 Ing. Manuel Tanuz Gonzáles</a:t>
          </a:r>
        </a:p>
        <a:p>
          <a:pPr algn="ctr" rtl="1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ea typeface="+mn-ea"/>
              <a:cs typeface="Arial"/>
            </a:rPr>
            <a:t>FISC</a:t>
          </a: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AL DE OBRA</a:t>
          </a:r>
        </a:p>
      </xdr:txBody>
    </xdr:sp>
    <xdr:clientData/>
  </xdr:twoCellAnchor>
  <xdr:twoCellAnchor>
    <xdr:from>
      <xdr:col>9</xdr:col>
      <xdr:colOff>188357</xdr:colOff>
      <xdr:row>100</xdr:row>
      <xdr:rowOff>27146</xdr:rowOff>
    </xdr:from>
    <xdr:to>
      <xdr:col>13</xdr:col>
      <xdr:colOff>76039</xdr:colOff>
      <xdr:row>103</xdr:row>
      <xdr:rowOff>43545</xdr:rowOff>
    </xdr:to>
    <xdr:sp macro="" textlink="">
      <xdr:nvSpPr>
        <xdr:cNvPr id="13" name="Text Box 11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 txBox="1">
          <a:spLocks noChangeArrowheads="1"/>
        </xdr:cNvSpPr>
      </xdr:nvSpPr>
      <xdr:spPr bwMode="auto">
        <a:xfrm>
          <a:off x="9218057" y="17172146"/>
          <a:ext cx="2859482" cy="6545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BO" sz="900">
              <a:effectLst/>
              <a:latin typeface="Arial" pitchFamily="34" charset="0"/>
              <a:cs typeface="Arial" pitchFamily="34" charset="0"/>
            </a:rPr>
            <a:t>Arq. Edzon Reynaldo Copa Rojas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DIRECTOR</a:t>
          </a:r>
          <a:r>
            <a:rPr lang="es-ES" sz="900" b="1" i="0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 DE INFRAESTRUCTURA</a:t>
          </a:r>
        </a:p>
        <a:p>
          <a:pPr algn="ctr" rtl="0">
            <a:defRPr sz="1000"/>
          </a:pPr>
          <a:r>
            <a:rPr lang="es-ES" sz="1050" b="1" i="0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endParaRPr lang="es-ES" sz="105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101</xdr:row>
      <xdr:rowOff>0</xdr:rowOff>
    </xdr:from>
    <xdr:to>
      <xdr:col>1</xdr:col>
      <xdr:colOff>1238250</xdr:colOff>
      <xdr:row>101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23825" y="17306925"/>
          <a:ext cx="14763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1392555</xdr:colOff>
      <xdr:row>101</xdr:row>
      <xdr:rowOff>0</xdr:rowOff>
    </xdr:from>
    <xdr:to>
      <xdr:col>5</xdr:col>
      <xdr:colOff>212749</xdr:colOff>
      <xdr:row>101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>
          <a:spLocks noChangeArrowheads="1"/>
        </xdr:cNvSpPr>
      </xdr:nvSpPr>
      <xdr:spPr bwMode="auto">
        <a:xfrm>
          <a:off x="1754505" y="17306925"/>
          <a:ext cx="4220869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Lic. Demetrio Gómez C.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ENCARGADO PROYECTO 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10</xdr:col>
      <xdr:colOff>55245</xdr:colOff>
      <xdr:row>101</xdr:row>
      <xdr:rowOff>0</xdr:rowOff>
    </xdr:from>
    <xdr:to>
      <xdr:col>13</xdr:col>
      <xdr:colOff>155053</xdr:colOff>
      <xdr:row>101</xdr:row>
      <xdr:rowOff>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>
          <a:spLocks noChangeArrowheads="1"/>
        </xdr:cNvSpPr>
      </xdr:nvSpPr>
      <xdr:spPr bwMode="auto">
        <a:xfrm>
          <a:off x="9665970" y="17306925"/>
          <a:ext cx="2490583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Jhonny Calderon</a:t>
          </a:r>
        </a:p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SUPERVISOR DE OBRAS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280035</xdr:colOff>
      <xdr:row>101</xdr:row>
      <xdr:rowOff>0</xdr:rowOff>
    </xdr:from>
    <xdr:to>
      <xdr:col>17</xdr:col>
      <xdr:colOff>234362</xdr:colOff>
      <xdr:row>101</xdr:row>
      <xdr:rowOff>0</xdr:rowOff>
    </xdr:to>
    <xdr:sp macro="" textlink="">
      <xdr:nvSpPr>
        <xdr:cNvPr id="5" name="Text Box 5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>
          <a:spLocks noChangeArrowheads="1"/>
        </xdr:cNvSpPr>
      </xdr:nvSpPr>
      <xdr:spPr bwMode="auto">
        <a:xfrm>
          <a:off x="12281535" y="17306925"/>
          <a:ext cx="3459527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Ricardo Gónzales L.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STRIO. DEPARTAMEMNTAL DE OBRAS PUBLICAS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217962</xdr:colOff>
      <xdr:row>100</xdr:row>
      <xdr:rowOff>22481</xdr:rowOff>
    </xdr:from>
    <xdr:to>
      <xdr:col>16</xdr:col>
      <xdr:colOff>311349</xdr:colOff>
      <xdr:row>103</xdr:row>
      <xdr:rowOff>23281</xdr:rowOff>
    </xdr:to>
    <xdr:sp macro="" textlink="">
      <xdr:nvSpPr>
        <xdr:cNvPr id="6" name="Text Box 1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 txBox="1">
          <a:spLocks noChangeArrowheads="1"/>
        </xdr:cNvSpPr>
      </xdr:nvSpPr>
      <xdr:spPr bwMode="auto">
        <a:xfrm>
          <a:off x="12219462" y="17167481"/>
          <a:ext cx="2893737" cy="638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Arq. Marcelo Arcienega Leon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SECRETARIO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DE OBRAS PUBLICAS Y SERVICIOS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438150</xdr:colOff>
      <xdr:row>0</xdr:row>
      <xdr:rowOff>19050</xdr:rowOff>
    </xdr:from>
    <xdr:to>
      <xdr:col>0</xdr:col>
      <xdr:colOff>876300</xdr:colOff>
      <xdr:row>1</xdr:row>
      <xdr:rowOff>180975</xdr:rowOff>
    </xdr:to>
    <xdr:pic>
      <xdr:nvPicPr>
        <xdr:cNvPr id="7" name="Picture 303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361950" y="19050"/>
          <a:ext cx="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85725</xdr:colOff>
      <xdr:row>0</xdr:row>
      <xdr:rowOff>47625</xdr:rowOff>
    </xdr:from>
    <xdr:to>
      <xdr:col>1</xdr:col>
      <xdr:colOff>552450</xdr:colOff>
      <xdr:row>2</xdr:row>
      <xdr:rowOff>133350</xdr:rowOff>
    </xdr:to>
    <xdr:pic>
      <xdr:nvPicPr>
        <xdr:cNvPr id="8" name="Picture 303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85725" y="47625"/>
          <a:ext cx="8286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16</xdr:col>
      <xdr:colOff>490971</xdr:colOff>
      <xdr:row>0</xdr:row>
      <xdr:rowOff>55418</xdr:rowOff>
    </xdr:from>
    <xdr:ext cx="529936" cy="698789"/>
    <xdr:pic>
      <xdr:nvPicPr>
        <xdr:cNvPr id="9" name="Picture 6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92821" y="55418"/>
          <a:ext cx="529936" cy="6987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83374</xdr:colOff>
      <xdr:row>99</xdr:row>
      <xdr:rowOff>112608</xdr:rowOff>
    </xdr:from>
    <xdr:to>
      <xdr:col>1</xdr:col>
      <xdr:colOff>1978491</xdr:colOff>
      <xdr:row>103</xdr:row>
      <xdr:rowOff>132684</xdr:rowOff>
    </xdr:to>
    <xdr:sp macro="" textlink="">
      <xdr:nvSpPr>
        <xdr:cNvPr id="10" name="Text Box 1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>
          <a:spLocks noChangeArrowheads="1"/>
        </xdr:cNvSpPr>
      </xdr:nvSpPr>
      <xdr:spPr bwMode="auto">
        <a:xfrm>
          <a:off x="445324" y="17095683"/>
          <a:ext cx="1895117" cy="8201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Victor Rocabado Cuellar. 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Superintendente de Obra   </a:t>
          </a: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EMPRESA CONSTRUCTORA CHUQUISACA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1849279</xdr:colOff>
      <xdr:row>100</xdr:row>
      <xdr:rowOff>40641</xdr:rowOff>
    </xdr:from>
    <xdr:to>
      <xdr:col>5</xdr:col>
      <xdr:colOff>255230</xdr:colOff>
      <xdr:row>103</xdr:row>
      <xdr:rowOff>50835</xdr:rowOff>
    </xdr:to>
    <xdr:sp macro="" textlink="">
      <xdr:nvSpPr>
        <xdr:cNvPr id="11" name="Text Box 3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>
          <a:spLocks noChangeArrowheads="1"/>
        </xdr:cNvSpPr>
      </xdr:nvSpPr>
      <xdr:spPr bwMode="auto">
        <a:xfrm>
          <a:off x="2211229" y="17185641"/>
          <a:ext cx="3806626" cy="6483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Eri</a:t>
          </a:r>
          <a:r>
            <a:rPr lang="en-US" sz="900" b="0" i="0" strike="noStrike" baseline="0">
              <a:solidFill>
                <a:srgbClr val="000000"/>
              </a:solidFill>
              <a:latin typeface="Arial"/>
              <a:cs typeface="Arial"/>
            </a:rPr>
            <a:t>c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k Ortuño Cuellar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n-US" sz="900" b="1" i="0" strike="noStrike" baseline="0">
              <a:solidFill>
                <a:srgbClr val="000000"/>
              </a:solidFill>
              <a:latin typeface="Arial"/>
              <a:cs typeface="Arial"/>
            </a:rPr>
            <a:t>GERENTE DE SUPERVISION  "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ECCORT"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202302</xdr:colOff>
      <xdr:row>100</xdr:row>
      <xdr:rowOff>30395</xdr:rowOff>
    </xdr:from>
    <xdr:to>
      <xdr:col>9</xdr:col>
      <xdr:colOff>11672</xdr:colOff>
      <xdr:row>102</xdr:row>
      <xdr:rowOff>92595</xdr:rowOff>
    </xdr:to>
    <xdr:sp macro="" textlink="">
      <xdr:nvSpPr>
        <xdr:cNvPr id="12" name="Text Box 4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>
          <a:spLocks noChangeArrowheads="1"/>
        </xdr:cNvSpPr>
      </xdr:nvSpPr>
      <xdr:spPr bwMode="auto">
        <a:xfrm>
          <a:off x="6917427" y="17175395"/>
          <a:ext cx="2123945" cy="386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 Ing. Manuel Tanuz Gonzáles</a:t>
          </a:r>
        </a:p>
        <a:p>
          <a:pPr algn="ctr" rtl="1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ea typeface="+mn-ea"/>
              <a:cs typeface="Arial"/>
            </a:rPr>
            <a:t>FISC</a:t>
          </a: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AL DE OBRA</a:t>
          </a:r>
        </a:p>
      </xdr:txBody>
    </xdr:sp>
    <xdr:clientData/>
  </xdr:twoCellAnchor>
  <xdr:twoCellAnchor>
    <xdr:from>
      <xdr:col>9</xdr:col>
      <xdr:colOff>188357</xdr:colOff>
      <xdr:row>100</xdr:row>
      <xdr:rowOff>27146</xdr:rowOff>
    </xdr:from>
    <xdr:to>
      <xdr:col>13</xdr:col>
      <xdr:colOff>76039</xdr:colOff>
      <xdr:row>103</xdr:row>
      <xdr:rowOff>43545</xdr:rowOff>
    </xdr:to>
    <xdr:sp macro="" textlink="">
      <xdr:nvSpPr>
        <xdr:cNvPr id="13" name="Text Box 11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 txBox="1">
          <a:spLocks noChangeArrowheads="1"/>
        </xdr:cNvSpPr>
      </xdr:nvSpPr>
      <xdr:spPr bwMode="auto">
        <a:xfrm>
          <a:off x="9218057" y="17172146"/>
          <a:ext cx="2859482" cy="6545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BO" sz="900">
              <a:effectLst/>
              <a:latin typeface="Arial" pitchFamily="34" charset="0"/>
              <a:cs typeface="Arial" pitchFamily="34" charset="0"/>
            </a:rPr>
            <a:t>Arq. Edzon Reynaldo Copa Rojas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DIRECTOR</a:t>
          </a:r>
          <a:r>
            <a:rPr lang="es-ES" sz="900" b="1" i="0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 DE INFRAESTRUCTURA</a:t>
          </a:r>
        </a:p>
        <a:p>
          <a:pPr algn="ctr" rtl="0">
            <a:defRPr sz="1000"/>
          </a:pPr>
          <a:r>
            <a:rPr lang="es-ES" sz="1050" b="1" i="0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endParaRPr lang="es-ES" sz="105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101</xdr:row>
      <xdr:rowOff>0</xdr:rowOff>
    </xdr:from>
    <xdr:to>
      <xdr:col>1</xdr:col>
      <xdr:colOff>1238250</xdr:colOff>
      <xdr:row>101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>
          <a:spLocks noChangeArrowheads="1"/>
        </xdr:cNvSpPr>
      </xdr:nvSpPr>
      <xdr:spPr bwMode="auto">
        <a:xfrm>
          <a:off x="123825" y="16678275"/>
          <a:ext cx="1400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1392555</xdr:colOff>
      <xdr:row>101</xdr:row>
      <xdr:rowOff>0</xdr:rowOff>
    </xdr:from>
    <xdr:to>
      <xdr:col>5</xdr:col>
      <xdr:colOff>212749</xdr:colOff>
      <xdr:row>101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>
          <a:spLocks noChangeArrowheads="1"/>
        </xdr:cNvSpPr>
      </xdr:nvSpPr>
      <xdr:spPr bwMode="auto">
        <a:xfrm>
          <a:off x="1525905" y="16678275"/>
          <a:ext cx="2496844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Lic. Demetrio Gómez C.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ENCARGADO PROYECTO 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10</xdr:col>
      <xdr:colOff>55245</xdr:colOff>
      <xdr:row>101</xdr:row>
      <xdr:rowOff>0</xdr:rowOff>
    </xdr:from>
    <xdr:to>
      <xdr:col>13</xdr:col>
      <xdr:colOff>155053</xdr:colOff>
      <xdr:row>101</xdr:row>
      <xdr:rowOff>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>
          <a:spLocks noChangeArrowheads="1"/>
        </xdr:cNvSpPr>
      </xdr:nvSpPr>
      <xdr:spPr bwMode="auto">
        <a:xfrm>
          <a:off x="7675245" y="16678275"/>
          <a:ext cx="2385808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Jhonny Calderon</a:t>
          </a:r>
        </a:p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SUPERVISOR DE OBRAS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280035</xdr:colOff>
      <xdr:row>101</xdr:row>
      <xdr:rowOff>0</xdr:rowOff>
    </xdr:from>
    <xdr:to>
      <xdr:col>17</xdr:col>
      <xdr:colOff>234362</xdr:colOff>
      <xdr:row>101</xdr:row>
      <xdr:rowOff>0</xdr:rowOff>
    </xdr:to>
    <xdr:sp macro="" textlink="">
      <xdr:nvSpPr>
        <xdr:cNvPr id="5" name="Text Box 5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>
          <a:spLocks noChangeArrowheads="1"/>
        </xdr:cNvSpPr>
      </xdr:nvSpPr>
      <xdr:spPr bwMode="auto">
        <a:xfrm>
          <a:off x="10186035" y="16678275"/>
          <a:ext cx="3002327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Ricardo Gónzales L.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STRIO. DEPARTAMEMNTAL DE OBRAS PUBLICAS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217962</xdr:colOff>
      <xdr:row>100</xdr:row>
      <xdr:rowOff>22481</xdr:rowOff>
    </xdr:from>
    <xdr:to>
      <xdr:col>16</xdr:col>
      <xdr:colOff>311349</xdr:colOff>
      <xdr:row>103</xdr:row>
      <xdr:rowOff>23281</xdr:rowOff>
    </xdr:to>
    <xdr:sp macro="" textlink="">
      <xdr:nvSpPr>
        <xdr:cNvPr id="6" name="Text Box 1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>
          <a:spLocks noChangeArrowheads="1"/>
        </xdr:cNvSpPr>
      </xdr:nvSpPr>
      <xdr:spPr bwMode="auto">
        <a:xfrm>
          <a:off x="10123962" y="16538831"/>
          <a:ext cx="2379387" cy="486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Arq. Marcelo Arcienega Leon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SECRETARIO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DE OBRAS PUBLICAS Y SERVICIOS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438150</xdr:colOff>
      <xdr:row>0</xdr:row>
      <xdr:rowOff>19050</xdr:rowOff>
    </xdr:from>
    <xdr:to>
      <xdr:col>0</xdr:col>
      <xdr:colOff>876300</xdr:colOff>
      <xdr:row>1</xdr:row>
      <xdr:rowOff>180975</xdr:rowOff>
    </xdr:to>
    <xdr:pic>
      <xdr:nvPicPr>
        <xdr:cNvPr id="7" name="Picture 303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438150" y="19050"/>
          <a:ext cx="32385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85725</xdr:colOff>
      <xdr:row>0</xdr:row>
      <xdr:rowOff>47625</xdr:rowOff>
    </xdr:from>
    <xdr:to>
      <xdr:col>1</xdr:col>
      <xdr:colOff>552450</xdr:colOff>
      <xdr:row>2</xdr:row>
      <xdr:rowOff>133350</xdr:rowOff>
    </xdr:to>
    <xdr:pic>
      <xdr:nvPicPr>
        <xdr:cNvPr id="8" name="Picture 303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85725" y="47625"/>
          <a:ext cx="1228725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16</xdr:col>
      <xdr:colOff>490971</xdr:colOff>
      <xdr:row>0</xdr:row>
      <xdr:rowOff>55418</xdr:rowOff>
    </xdr:from>
    <xdr:ext cx="529936" cy="698789"/>
    <xdr:pic>
      <xdr:nvPicPr>
        <xdr:cNvPr id="9" name="Picture 6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82971" y="55418"/>
          <a:ext cx="529936" cy="6987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83374</xdr:colOff>
      <xdr:row>99</xdr:row>
      <xdr:rowOff>112608</xdr:rowOff>
    </xdr:from>
    <xdr:to>
      <xdr:col>1</xdr:col>
      <xdr:colOff>1978491</xdr:colOff>
      <xdr:row>103</xdr:row>
      <xdr:rowOff>132684</xdr:rowOff>
    </xdr:to>
    <xdr:sp macro="" textlink="">
      <xdr:nvSpPr>
        <xdr:cNvPr id="10" name="Text Box 1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 txBox="1">
          <a:spLocks noChangeArrowheads="1"/>
        </xdr:cNvSpPr>
      </xdr:nvSpPr>
      <xdr:spPr bwMode="auto">
        <a:xfrm>
          <a:off x="845374" y="16467033"/>
          <a:ext cx="675917" cy="6677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Victor Rocabado Cuellar. 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Superintendente de Obra   </a:t>
          </a: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EMPRESA CONSTRUCTORA CHUQUISACA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1849279</xdr:colOff>
      <xdr:row>100</xdr:row>
      <xdr:rowOff>40641</xdr:rowOff>
    </xdr:from>
    <xdr:to>
      <xdr:col>5</xdr:col>
      <xdr:colOff>255230</xdr:colOff>
      <xdr:row>103</xdr:row>
      <xdr:rowOff>50835</xdr:rowOff>
    </xdr:to>
    <xdr:sp macro="" textlink="">
      <xdr:nvSpPr>
        <xdr:cNvPr id="11" name="Text Box 3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 txBox="1">
          <a:spLocks noChangeArrowheads="1"/>
        </xdr:cNvSpPr>
      </xdr:nvSpPr>
      <xdr:spPr bwMode="auto">
        <a:xfrm>
          <a:off x="1525429" y="16556991"/>
          <a:ext cx="2539801" cy="4959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Eri</a:t>
          </a:r>
          <a:r>
            <a:rPr lang="en-US" sz="900" b="0" i="0" strike="noStrike" baseline="0">
              <a:solidFill>
                <a:srgbClr val="000000"/>
              </a:solidFill>
              <a:latin typeface="Arial"/>
              <a:cs typeface="Arial"/>
            </a:rPr>
            <a:t>c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k Ortuño Cuellar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n-US" sz="900" b="1" i="0" strike="noStrike" baseline="0">
              <a:solidFill>
                <a:srgbClr val="000000"/>
              </a:solidFill>
              <a:latin typeface="Arial"/>
              <a:cs typeface="Arial"/>
            </a:rPr>
            <a:t>GERENTE DE SUPERVISION  "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ECCORT"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202302</xdr:colOff>
      <xdr:row>100</xdr:row>
      <xdr:rowOff>30395</xdr:rowOff>
    </xdr:from>
    <xdr:to>
      <xdr:col>9</xdr:col>
      <xdr:colOff>11672</xdr:colOff>
      <xdr:row>102</xdr:row>
      <xdr:rowOff>92595</xdr:rowOff>
    </xdr:to>
    <xdr:sp macro="" textlink="">
      <xdr:nvSpPr>
        <xdr:cNvPr id="12" name="Text Box 4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 txBox="1">
          <a:spLocks noChangeArrowheads="1"/>
        </xdr:cNvSpPr>
      </xdr:nvSpPr>
      <xdr:spPr bwMode="auto">
        <a:xfrm>
          <a:off x="4774302" y="16546745"/>
          <a:ext cx="2095370" cy="386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 Ing. Manuel Tanuz Gonzáles</a:t>
          </a:r>
        </a:p>
        <a:p>
          <a:pPr algn="ctr" rtl="1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ea typeface="+mn-ea"/>
              <a:cs typeface="Arial"/>
            </a:rPr>
            <a:t>FISC</a:t>
          </a: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AL DE OBRA</a:t>
          </a:r>
        </a:p>
      </xdr:txBody>
    </xdr:sp>
    <xdr:clientData/>
  </xdr:twoCellAnchor>
  <xdr:twoCellAnchor>
    <xdr:from>
      <xdr:col>9</xdr:col>
      <xdr:colOff>188357</xdr:colOff>
      <xdr:row>100</xdr:row>
      <xdr:rowOff>27146</xdr:rowOff>
    </xdr:from>
    <xdr:to>
      <xdr:col>13</xdr:col>
      <xdr:colOff>76039</xdr:colOff>
      <xdr:row>103</xdr:row>
      <xdr:rowOff>43545</xdr:rowOff>
    </xdr:to>
    <xdr:sp macro="" textlink="">
      <xdr:nvSpPr>
        <xdr:cNvPr id="13" name="Text Box 11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 txBox="1">
          <a:spLocks noChangeArrowheads="1"/>
        </xdr:cNvSpPr>
      </xdr:nvSpPr>
      <xdr:spPr bwMode="auto">
        <a:xfrm>
          <a:off x="7046357" y="16543496"/>
          <a:ext cx="2935682" cy="5021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BO" sz="900">
              <a:effectLst/>
              <a:latin typeface="Arial" pitchFamily="34" charset="0"/>
              <a:cs typeface="Arial" pitchFamily="34" charset="0"/>
            </a:rPr>
            <a:t>Arq. Edzon Reynaldo Copa Rojas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DIRECTOR</a:t>
          </a:r>
          <a:r>
            <a:rPr lang="es-ES" sz="900" b="1" i="0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 DE INFRAESTRUCTURA</a:t>
          </a:r>
        </a:p>
        <a:p>
          <a:pPr algn="ctr" rtl="0">
            <a:defRPr sz="1000"/>
          </a:pPr>
          <a:r>
            <a:rPr lang="es-ES" sz="1050" b="1" i="0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endParaRPr lang="es-ES" sz="105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101</xdr:row>
      <xdr:rowOff>0</xdr:rowOff>
    </xdr:from>
    <xdr:to>
      <xdr:col>1</xdr:col>
      <xdr:colOff>1238250</xdr:colOff>
      <xdr:row>101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>
          <a:spLocks noChangeArrowheads="1"/>
        </xdr:cNvSpPr>
      </xdr:nvSpPr>
      <xdr:spPr bwMode="auto">
        <a:xfrm>
          <a:off x="123825" y="17306925"/>
          <a:ext cx="14763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1392555</xdr:colOff>
      <xdr:row>101</xdr:row>
      <xdr:rowOff>0</xdr:rowOff>
    </xdr:from>
    <xdr:to>
      <xdr:col>5</xdr:col>
      <xdr:colOff>212749</xdr:colOff>
      <xdr:row>101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>
          <a:spLocks noChangeArrowheads="1"/>
        </xdr:cNvSpPr>
      </xdr:nvSpPr>
      <xdr:spPr bwMode="auto">
        <a:xfrm>
          <a:off x="1754505" y="17306925"/>
          <a:ext cx="4220869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Lic. Demetrio Gómez C.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ENCARGADO PROYECTO 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10</xdr:col>
      <xdr:colOff>55245</xdr:colOff>
      <xdr:row>101</xdr:row>
      <xdr:rowOff>0</xdr:rowOff>
    </xdr:from>
    <xdr:to>
      <xdr:col>13</xdr:col>
      <xdr:colOff>155053</xdr:colOff>
      <xdr:row>101</xdr:row>
      <xdr:rowOff>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>
          <a:spLocks noChangeArrowheads="1"/>
        </xdr:cNvSpPr>
      </xdr:nvSpPr>
      <xdr:spPr bwMode="auto">
        <a:xfrm>
          <a:off x="9665970" y="17306925"/>
          <a:ext cx="2490583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Jhonny Calderon</a:t>
          </a:r>
        </a:p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SUPERVISOR DE OBRAS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280035</xdr:colOff>
      <xdr:row>101</xdr:row>
      <xdr:rowOff>0</xdr:rowOff>
    </xdr:from>
    <xdr:to>
      <xdr:col>17</xdr:col>
      <xdr:colOff>234362</xdr:colOff>
      <xdr:row>101</xdr:row>
      <xdr:rowOff>0</xdr:rowOff>
    </xdr:to>
    <xdr:sp macro="" textlink="">
      <xdr:nvSpPr>
        <xdr:cNvPr id="5" name="Text Box 5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 txBox="1">
          <a:spLocks noChangeArrowheads="1"/>
        </xdr:cNvSpPr>
      </xdr:nvSpPr>
      <xdr:spPr bwMode="auto">
        <a:xfrm>
          <a:off x="12281535" y="17306925"/>
          <a:ext cx="3459527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Ricardo Gónzales L.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STRIO. DEPARTAMEMNTAL DE OBRAS PUBLICAS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217962</xdr:colOff>
      <xdr:row>100</xdr:row>
      <xdr:rowOff>22481</xdr:rowOff>
    </xdr:from>
    <xdr:to>
      <xdr:col>16</xdr:col>
      <xdr:colOff>311349</xdr:colOff>
      <xdr:row>103</xdr:row>
      <xdr:rowOff>23281</xdr:rowOff>
    </xdr:to>
    <xdr:sp macro="" textlink="">
      <xdr:nvSpPr>
        <xdr:cNvPr id="6" name="Text Box 1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 txBox="1">
          <a:spLocks noChangeArrowheads="1"/>
        </xdr:cNvSpPr>
      </xdr:nvSpPr>
      <xdr:spPr bwMode="auto">
        <a:xfrm>
          <a:off x="12219462" y="17167481"/>
          <a:ext cx="2893737" cy="638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Arq. Marcelo Arcienega Leon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SECRETARIO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DE OBRAS PUBLICAS Y SERVICIOS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438150</xdr:colOff>
      <xdr:row>0</xdr:row>
      <xdr:rowOff>19050</xdr:rowOff>
    </xdr:from>
    <xdr:to>
      <xdr:col>0</xdr:col>
      <xdr:colOff>876300</xdr:colOff>
      <xdr:row>1</xdr:row>
      <xdr:rowOff>180975</xdr:rowOff>
    </xdr:to>
    <xdr:pic>
      <xdr:nvPicPr>
        <xdr:cNvPr id="7" name="Picture 303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361950" y="19050"/>
          <a:ext cx="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85725</xdr:colOff>
      <xdr:row>0</xdr:row>
      <xdr:rowOff>47625</xdr:rowOff>
    </xdr:from>
    <xdr:to>
      <xdr:col>1</xdr:col>
      <xdr:colOff>552450</xdr:colOff>
      <xdr:row>2</xdr:row>
      <xdr:rowOff>133350</xdr:rowOff>
    </xdr:to>
    <xdr:pic>
      <xdr:nvPicPr>
        <xdr:cNvPr id="8" name="Picture 303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85725" y="47625"/>
          <a:ext cx="8286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16</xdr:col>
      <xdr:colOff>490971</xdr:colOff>
      <xdr:row>0</xdr:row>
      <xdr:rowOff>55418</xdr:rowOff>
    </xdr:from>
    <xdr:ext cx="529936" cy="698789"/>
    <xdr:pic>
      <xdr:nvPicPr>
        <xdr:cNvPr id="9" name="Picture 6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92821" y="55418"/>
          <a:ext cx="529936" cy="6987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83374</xdr:colOff>
      <xdr:row>99</xdr:row>
      <xdr:rowOff>112608</xdr:rowOff>
    </xdr:from>
    <xdr:to>
      <xdr:col>1</xdr:col>
      <xdr:colOff>1978491</xdr:colOff>
      <xdr:row>103</xdr:row>
      <xdr:rowOff>132684</xdr:rowOff>
    </xdr:to>
    <xdr:sp macro="" textlink="">
      <xdr:nvSpPr>
        <xdr:cNvPr id="10" name="Text Box 1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 txBox="1">
          <a:spLocks noChangeArrowheads="1"/>
        </xdr:cNvSpPr>
      </xdr:nvSpPr>
      <xdr:spPr bwMode="auto">
        <a:xfrm>
          <a:off x="445324" y="17095683"/>
          <a:ext cx="1895117" cy="8201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Victor Rocabado Cuellar. 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Superintendente de Obra   </a:t>
          </a: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EMPRESA CONSTRUCTORA CHUQUISACA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1849279</xdr:colOff>
      <xdr:row>100</xdr:row>
      <xdr:rowOff>40641</xdr:rowOff>
    </xdr:from>
    <xdr:to>
      <xdr:col>5</xdr:col>
      <xdr:colOff>255230</xdr:colOff>
      <xdr:row>103</xdr:row>
      <xdr:rowOff>50835</xdr:rowOff>
    </xdr:to>
    <xdr:sp macro="" textlink="">
      <xdr:nvSpPr>
        <xdr:cNvPr id="11" name="Text Box 3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 txBox="1">
          <a:spLocks noChangeArrowheads="1"/>
        </xdr:cNvSpPr>
      </xdr:nvSpPr>
      <xdr:spPr bwMode="auto">
        <a:xfrm>
          <a:off x="2211229" y="17185641"/>
          <a:ext cx="3806626" cy="6483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Eri</a:t>
          </a:r>
          <a:r>
            <a:rPr lang="en-US" sz="900" b="0" i="0" strike="noStrike" baseline="0">
              <a:solidFill>
                <a:srgbClr val="000000"/>
              </a:solidFill>
              <a:latin typeface="Arial"/>
              <a:cs typeface="Arial"/>
            </a:rPr>
            <a:t>c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k Ortuño Cuellar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n-US" sz="900" b="1" i="0" strike="noStrike" baseline="0">
              <a:solidFill>
                <a:srgbClr val="000000"/>
              </a:solidFill>
              <a:latin typeface="Arial"/>
              <a:cs typeface="Arial"/>
            </a:rPr>
            <a:t>GERENTE DE SUPERVISION  "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ECCORT"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202302</xdr:colOff>
      <xdr:row>100</xdr:row>
      <xdr:rowOff>30395</xdr:rowOff>
    </xdr:from>
    <xdr:to>
      <xdr:col>9</xdr:col>
      <xdr:colOff>11672</xdr:colOff>
      <xdr:row>102</xdr:row>
      <xdr:rowOff>92595</xdr:rowOff>
    </xdr:to>
    <xdr:sp macro="" textlink="">
      <xdr:nvSpPr>
        <xdr:cNvPr id="12" name="Text Box 4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 txBox="1">
          <a:spLocks noChangeArrowheads="1"/>
        </xdr:cNvSpPr>
      </xdr:nvSpPr>
      <xdr:spPr bwMode="auto">
        <a:xfrm>
          <a:off x="6917427" y="17175395"/>
          <a:ext cx="2123945" cy="386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 Ing. Manuel Tanuz Gonzáles</a:t>
          </a:r>
        </a:p>
        <a:p>
          <a:pPr algn="ctr" rtl="1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ea typeface="+mn-ea"/>
              <a:cs typeface="Arial"/>
            </a:rPr>
            <a:t>FISC</a:t>
          </a: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AL DE OBRA</a:t>
          </a:r>
        </a:p>
      </xdr:txBody>
    </xdr:sp>
    <xdr:clientData/>
  </xdr:twoCellAnchor>
  <xdr:twoCellAnchor>
    <xdr:from>
      <xdr:col>9</xdr:col>
      <xdr:colOff>188357</xdr:colOff>
      <xdr:row>100</xdr:row>
      <xdr:rowOff>27146</xdr:rowOff>
    </xdr:from>
    <xdr:to>
      <xdr:col>13</xdr:col>
      <xdr:colOff>76039</xdr:colOff>
      <xdr:row>103</xdr:row>
      <xdr:rowOff>43545</xdr:rowOff>
    </xdr:to>
    <xdr:sp macro="" textlink="">
      <xdr:nvSpPr>
        <xdr:cNvPr id="13" name="Text Box 11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 txBox="1">
          <a:spLocks noChangeArrowheads="1"/>
        </xdr:cNvSpPr>
      </xdr:nvSpPr>
      <xdr:spPr bwMode="auto">
        <a:xfrm>
          <a:off x="9218057" y="17172146"/>
          <a:ext cx="2859482" cy="6545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BO" sz="900">
              <a:effectLst/>
              <a:latin typeface="Arial" pitchFamily="34" charset="0"/>
              <a:cs typeface="Arial" pitchFamily="34" charset="0"/>
            </a:rPr>
            <a:t>Arq. Edzon Reynaldo Copa Rojas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DIRECTOR</a:t>
          </a:r>
          <a:r>
            <a:rPr lang="es-ES" sz="900" b="1" i="0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 DE INFRAESTRUCTURA</a:t>
          </a:r>
        </a:p>
        <a:p>
          <a:pPr algn="ctr" rtl="0">
            <a:defRPr sz="1000"/>
          </a:pPr>
          <a:r>
            <a:rPr lang="es-ES" sz="1050" b="1" i="0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endParaRPr lang="es-ES" sz="105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101</xdr:row>
      <xdr:rowOff>0</xdr:rowOff>
    </xdr:from>
    <xdr:to>
      <xdr:col>1</xdr:col>
      <xdr:colOff>1238250</xdr:colOff>
      <xdr:row>101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>
          <a:spLocks noChangeArrowheads="1"/>
        </xdr:cNvSpPr>
      </xdr:nvSpPr>
      <xdr:spPr bwMode="auto">
        <a:xfrm>
          <a:off x="123825" y="17306925"/>
          <a:ext cx="14763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1392555</xdr:colOff>
      <xdr:row>101</xdr:row>
      <xdr:rowOff>0</xdr:rowOff>
    </xdr:from>
    <xdr:to>
      <xdr:col>5</xdr:col>
      <xdr:colOff>212749</xdr:colOff>
      <xdr:row>101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>
          <a:spLocks noChangeArrowheads="1"/>
        </xdr:cNvSpPr>
      </xdr:nvSpPr>
      <xdr:spPr bwMode="auto">
        <a:xfrm>
          <a:off x="1754505" y="17306925"/>
          <a:ext cx="4220869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Lic. Demetrio Gómez C.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ENCARGADO PROYECTO 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10</xdr:col>
      <xdr:colOff>55245</xdr:colOff>
      <xdr:row>101</xdr:row>
      <xdr:rowOff>0</xdr:rowOff>
    </xdr:from>
    <xdr:to>
      <xdr:col>13</xdr:col>
      <xdr:colOff>155053</xdr:colOff>
      <xdr:row>101</xdr:row>
      <xdr:rowOff>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>
          <a:spLocks noChangeArrowheads="1"/>
        </xdr:cNvSpPr>
      </xdr:nvSpPr>
      <xdr:spPr bwMode="auto">
        <a:xfrm>
          <a:off x="9665970" y="17306925"/>
          <a:ext cx="2490583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Jhonny Calderon</a:t>
          </a:r>
        </a:p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SUPERVISOR DE OBRAS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280035</xdr:colOff>
      <xdr:row>101</xdr:row>
      <xdr:rowOff>0</xdr:rowOff>
    </xdr:from>
    <xdr:to>
      <xdr:col>17</xdr:col>
      <xdr:colOff>234362</xdr:colOff>
      <xdr:row>101</xdr:row>
      <xdr:rowOff>0</xdr:rowOff>
    </xdr:to>
    <xdr:sp macro="" textlink="">
      <xdr:nvSpPr>
        <xdr:cNvPr id="5" name="Text Box 5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 txBox="1">
          <a:spLocks noChangeArrowheads="1"/>
        </xdr:cNvSpPr>
      </xdr:nvSpPr>
      <xdr:spPr bwMode="auto">
        <a:xfrm>
          <a:off x="12281535" y="17306925"/>
          <a:ext cx="3459527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Ricardo Gónzales L.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STRIO. DEPARTAMEMNTAL DE OBRAS PUBLICAS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217962</xdr:colOff>
      <xdr:row>100</xdr:row>
      <xdr:rowOff>22481</xdr:rowOff>
    </xdr:from>
    <xdr:to>
      <xdr:col>16</xdr:col>
      <xdr:colOff>311349</xdr:colOff>
      <xdr:row>103</xdr:row>
      <xdr:rowOff>23281</xdr:rowOff>
    </xdr:to>
    <xdr:sp macro="" textlink="">
      <xdr:nvSpPr>
        <xdr:cNvPr id="6" name="Text Box 1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 txBox="1">
          <a:spLocks noChangeArrowheads="1"/>
        </xdr:cNvSpPr>
      </xdr:nvSpPr>
      <xdr:spPr bwMode="auto">
        <a:xfrm>
          <a:off x="12219462" y="17167481"/>
          <a:ext cx="2893737" cy="638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Arq. Marcelo Arcienega Leon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SECRETARIO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DE OBRAS PUBLICAS Y SERVICIOS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438150</xdr:colOff>
      <xdr:row>0</xdr:row>
      <xdr:rowOff>19050</xdr:rowOff>
    </xdr:from>
    <xdr:to>
      <xdr:col>0</xdr:col>
      <xdr:colOff>876300</xdr:colOff>
      <xdr:row>1</xdr:row>
      <xdr:rowOff>180975</xdr:rowOff>
    </xdr:to>
    <xdr:pic>
      <xdr:nvPicPr>
        <xdr:cNvPr id="7" name="Picture 303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361950" y="19050"/>
          <a:ext cx="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85725</xdr:colOff>
      <xdr:row>0</xdr:row>
      <xdr:rowOff>47625</xdr:rowOff>
    </xdr:from>
    <xdr:to>
      <xdr:col>1</xdr:col>
      <xdr:colOff>552450</xdr:colOff>
      <xdr:row>2</xdr:row>
      <xdr:rowOff>133350</xdr:rowOff>
    </xdr:to>
    <xdr:pic>
      <xdr:nvPicPr>
        <xdr:cNvPr id="8" name="Picture 303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85725" y="47625"/>
          <a:ext cx="8286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16</xdr:col>
      <xdr:colOff>490971</xdr:colOff>
      <xdr:row>0</xdr:row>
      <xdr:rowOff>55418</xdr:rowOff>
    </xdr:from>
    <xdr:ext cx="529936" cy="698789"/>
    <xdr:pic>
      <xdr:nvPicPr>
        <xdr:cNvPr id="9" name="Picture 6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92821" y="55418"/>
          <a:ext cx="529936" cy="6987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83374</xdr:colOff>
      <xdr:row>99</xdr:row>
      <xdr:rowOff>112608</xdr:rowOff>
    </xdr:from>
    <xdr:to>
      <xdr:col>1</xdr:col>
      <xdr:colOff>1978491</xdr:colOff>
      <xdr:row>103</xdr:row>
      <xdr:rowOff>132684</xdr:rowOff>
    </xdr:to>
    <xdr:sp macro="" textlink="">
      <xdr:nvSpPr>
        <xdr:cNvPr id="10" name="Text Box 1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 txBox="1">
          <a:spLocks noChangeArrowheads="1"/>
        </xdr:cNvSpPr>
      </xdr:nvSpPr>
      <xdr:spPr bwMode="auto">
        <a:xfrm>
          <a:off x="445324" y="17095683"/>
          <a:ext cx="1895117" cy="8201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Victor Rocabado Cuellar. 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Superintendente de Obra   </a:t>
          </a: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EMPRESA CONSTRUCTORA CHUQUISACA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1849279</xdr:colOff>
      <xdr:row>100</xdr:row>
      <xdr:rowOff>40641</xdr:rowOff>
    </xdr:from>
    <xdr:to>
      <xdr:col>5</xdr:col>
      <xdr:colOff>255230</xdr:colOff>
      <xdr:row>103</xdr:row>
      <xdr:rowOff>50835</xdr:rowOff>
    </xdr:to>
    <xdr:sp macro="" textlink="">
      <xdr:nvSpPr>
        <xdr:cNvPr id="11" name="Text Box 3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 txBox="1">
          <a:spLocks noChangeArrowheads="1"/>
        </xdr:cNvSpPr>
      </xdr:nvSpPr>
      <xdr:spPr bwMode="auto">
        <a:xfrm>
          <a:off x="2211229" y="17185641"/>
          <a:ext cx="3806626" cy="6483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Eri</a:t>
          </a:r>
          <a:r>
            <a:rPr lang="en-US" sz="900" b="0" i="0" strike="noStrike" baseline="0">
              <a:solidFill>
                <a:srgbClr val="000000"/>
              </a:solidFill>
              <a:latin typeface="Arial"/>
              <a:cs typeface="Arial"/>
            </a:rPr>
            <a:t>c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k Ortuño Cuellar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n-US" sz="900" b="1" i="0" strike="noStrike" baseline="0">
              <a:solidFill>
                <a:srgbClr val="000000"/>
              </a:solidFill>
              <a:latin typeface="Arial"/>
              <a:cs typeface="Arial"/>
            </a:rPr>
            <a:t>GERENTE DE SUPERVISION  "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ECCORT"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202302</xdr:colOff>
      <xdr:row>100</xdr:row>
      <xdr:rowOff>30395</xdr:rowOff>
    </xdr:from>
    <xdr:to>
      <xdr:col>9</xdr:col>
      <xdr:colOff>11672</xdr:colOff>
      <xdr:row>102</xdr:row>
      <xdr:rowOff>92595</xdr:rowOff>
    </xdr:to>
    <xdr:sp macro="" textlink="">
      <xdr:nvSpPr>
        <xdr:cNvPr id="12" name="Text Box 4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 txBox="1">
          <a:spLocks noChangeArrowheads="1"/>
        </xdr:cNvSpPr>
      </xdr:nvSpPr>
      <xdr:spPr bwMode="auto">
        <a:xfrm>
          <a:off x="6917427" y="17175395"/>
          <a:ext cx="2123945" cy="386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 Ing. Manuel Tanuz Gonzáles</a:t>
          </a:r>
        </a:p>
        <a:p>
          <a:pPr algn="ctr" rtl="1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ea typeface="+mn-ea"/>
              <a:cs typeface="Arial"/>
            </a:rPr>
            <a:t>FISC</a:t>
          </a: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AL DE OBRA</a:t>
          </a:r>
        </a:p>
      </xdr:txBody>
    </xdr:sp>
    <xdr:clientData/>
  </xdr:twoCellAnchor>
  <xdr:twoCellAnchor>
    <xdr:from>
      <xdr:col>9</xdr:col>
      <xdr:colOff>188357</xdr:colOff>
      <xdr:row>100</xdr:row>
      <xdr:rowOff>27146</xdr:rowOff>
    </xdr:from>
    <xdr:to>
      <xdr:col>13</xdr:col>
      <xdr:colOff>76039</xdr:colOff>
      <xdr:row>103</xdr:row>
      <xdr:rowOff>43545</xdr:rowOff>
    </xdr:to>
    <xdr:sp macro="" textlink="">
      <xdr:nvSpPr>
        <xdr:cNvPr id="13" name="Text Box 11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>
          <a:spLocks noChangeArrowheads="1"/>
        </xdr:cNvSpPr>
      </xdr:nvSpPr>
      <xdr:spPr bwMode="auto">
        <a:xfrm>
          <a:off x="9218057" y="17172146"/>
          <a:ext cx="2859482" cy="6545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BO" sz="900">
              <a:effectLst/>
              <a:latin typeface="Arial" pitchFamily="34" charset="0"/>
              <a:cs typeface="Arial" pitchFamily="34" charset="0"/>
            </a:rPr>
            <a:t>Arq. Edzon Reynaldo Copa Rojas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DIRECTOR</a:t>
          </a:r>
          <a:r>
            <a:rPr lang="es-ES" sz="900" b="1" i="0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 DE INFRAESTRUCTURA</a:t>
          </a:r>
        </a:p>
        <a:p>
          <a:pPr algn="ctr" rtl="0">
            <a:defRPr sz="1000"/>
          </a:pPr>
          <a:r>
            <a:rPr lang="es-ES" sz="1050" b="1" i="0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endParaRPr lang="es-ES" sz="105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101</xdr:row>
      <xdr:rowOff>0</xdr:rowOff>
    </xdr:from>
    <xdr:to>
      <xdr:col>1</xdr:col>
      <xdr:colOff>1238250</xdr:colOff>
      <xdr:row>101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>
          <a:spLocks noChangeArrowheads="1"/>
        </xdr:cNvSpPr>
      </xdr:nvSpPr>
      <xdr:spPr bwMode="auto">
        <a:xfrm>
          <a:off x="123825" y="17306925"/>
          <a:ext cx="14763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1392555</xdr:colOff>
      <xdr:row>101</xdr:row>
      <xdr:rowOff>0</xdr:rowOff>
    </xdr:from>
    <xdr:to>
      <xdr:col>5</xdr:col>
      <xdr:colOff>212749</xdr:colOff>
      <xdr:row>101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>
          <a:spLocks noChangeArrowheads="1"/>
        </xdr:cNvSpPr>
      </xdr:nvSpPr>
      <xdr:spPr bwMode="auto">
        <a:xfrm>
          <a:off x="1754505" y="17306925"/>
          <a:ext cx="4220869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Lic. Demetrio Gómez C.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ENCARGADO PROYECTO 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10</xdr:col>
      <xdr:colOff>55245</xdr:colOff>
      <xdr:row>101</xdr:row>
      <xdr:rowOff>0</xdr:rowOff>
    </xdr:from>
    <xdr:to>
      <xdr:col>13</xdr:col>
      <xdr:colOff>155053</xdr:colOff>
      <xdr:row>101</xdr:row>
      <xdr:rowOff>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>
          <a:spLocks noChangeArrowheads="1"/>
        </xdr:cNvSpPr>
      </xdr:nvSpPr>
      <xdr:spPr bwMode="auto">
        <a:xfrm>
          <a:off x="9665970" y="17306925"/>
          <a:ext cx="2490583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Jhonny Calderon</a:t>
          </a:r>
        </a:p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SUPERVISOR DE OBRAS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280035</xdr:colOff>
      <xdr:row>101</xdr:row>
      <xdr:rowOff>0</xdr:rowOff>
    </xdr:from>
    <xdr:to>
      <xdr:col>17</xdr:col>
      <xdr:colOff>234362</xdr:colOff>
      <xdr:row>101</xdr:row>
      <xdr:rowOff>0</xdr:rowOff>
    </xdr:to>
    <xdr:sp macro="" textlink="">
      <xdr:nvSpPr>
        <xdr:cNvPr id="5" name="Text Box 5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 txBox="1">
          <a:spLocks noChangeArrowheads="1"/>
        </xdr:cNvSpPr>
      </xdr:nvSpPr>
      <xdr:spPr bwMode="auto">
        <a:xfrm>
          <a:off x="12281535" y="17306925"/>
          <a:ext cx="3459527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Ricardo Gónzales L.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STRIO. DEPARTAMEMNTAL DE OBRAS PUBLICAS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217962</xdr:colOff>
      <xdr:row>100</xdr:row>
      <xdr:rowOff>22481</xdr:rowOff>
    </xdr:from>
    <xdr:to>
      <xdr:col>16</xdr:col>
      <xdr:colOff>311349</xdr:colOff>
      <xdr:row>103</xdr:row>
      <xdr:rowOff>23281</xdr:rowOff>
    </xdr:to>
    <xdr:sp macro="" textlink="">
      <xdr:nvSpPr>
        <xdr:cNvPr id="6" name="Text Box 1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 txBox="1">
          <a:spLocks noChangeArrowheads="1"/>
        </xdr:cNvSpPr>
      </xdr:nvSpPr>
      <xdr:spPr bwMode="auto">
        <a:xfrm>
          <a:off x="12219462" y="17167481"/>
          <a:ext cx="2893737" cy="638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Arq. Marcelo Arcienega Leon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SECRETARIO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DE OBRAS PUBLICAS Y SERVICIOS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438150</xdr:colOff>
      <xdr:row>0</xdr:row>
      <xdr:rowOff>19050</xdr:rowOff>
    </xdr:from>
    <xdr:to>
      <xdr:col>0</xdr:col>
      <xdr:colOff>876300</xdr:colOff>
      <xdr:row>1</xdr:row>
      <xdr:rowOff>180975</xdr:rowOff>
    </xdr:to>
    <xdr:pic>
      <xdr:nvPicPr>
        <xdr:cNvPr id="7" name="Picture 303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361950" y="19050"/>
          <a:ext cx="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85725</xdr:colOff>
      <xdr:row>0</xdr:row>
      <xdr:rowOff>47625</xdr:rowOff>
    </xdr:from>
    <xdr:to>
      <xdr:col>1</xdr:col>
      <xdr:colOff>552450</xdr:colOff>
      <xdr:row>2</xdr:row>
      <xdr:rowOff>133350</xdr:rowOff>
    </xdr:to>
    <xdr:pic>
      <xdr:nvPicPr>
        <xdr:cNvPr id="8" name="Picture 303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85725" y="47625"/>
          <a:ext cx="8286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16</xdr:col>
      <xdr:colOff>490971</xdr:colOff>
      <xdr:row>0</xdr:row>
      <xdr:rowOff>55418</xdr:rowOff>
    </xdr:from>
    <xdr:ext cx="529936" cy="698789"/>
    <xdr:pic>
      <xdr:nvPicPr>
        <xdr:cNvPr id="9" name="Picture 6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92821" y="55418"/>
          <a:ext cx="529936" cy="6987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83374</xdr:colOff>
      <xdr:row>99</xdr:row>
      <xdr:rowOff>112608</xdr:rowOff>
    </xdr:from>
    <xdr:to>
      <xdr:col>1</xdr:col>
      <xdr:colOff>1978491</xdr:colOff>
      <xdr:row>103</xdr:row>
      <xdr:rowOff>132684</xdr:rowOff>
    </xdr:to>
    <xdr:sp macro="" textlink="">
      <xdr:nvSpPr>
        <xdr:cNvPr id="10" name="Text Box 1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 txBox="1">
          <a:spLocks noChangeArrowheads="1"/>
        </xdr:cNvSpPr>
      </xdr:nvSpPr>
      <xdr:spPr bwMode="auto">
        <a:xfrm>
          <a:off x="445324" y="17095683"/>
          <a:ext cx="1895117" cy="8201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Victor Rocabado Cuellar. 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Superintendente de Obra   </a:t>
          </a: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EMPRESA CONSTRUCTORA CHUQUISACA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1849279</xdr:colOff>
      <xdr:row>100</xdr:row>
      <xdr:rowOff>40641</xdr:rowOff>
    </xdr:from>
    <xdr:to>
      <xdr:col>5</xdr:col>
      <xdr:colOff>255230</xdr:colOff>
      <xdr:row>103</xdr:row>
      <xdr:rowOff>50835</xdr:rowOff>
    </xdr:to>
    <xdr:sp macro="" textlink="">
      <xdr:nvSpPr>
        <xdr:cNvPr id="11" name="Text Box 3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 txBox="1">
          <a:spLocks noChangeArrowheads="1"/>
        </xdr:cNvSpPr>
      </xdr:nvSpPr>
      <xdr:spPr bwMode="auto">
        <a:xfrm>
          <a:off x="2211229" y="17185641"/>
          <a:ext cx="3806626" cy="6483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Eri</a:t>
          </a:r>
          <a:r>
            <a:rPr lang="en-US" sz="900" b="0" i="0" strike="noStrike" baseline="0">
              <a:solidFill>
                <a:srgbClr val="000000"/>
              </a:solidFill>
              <a:latin typeface="Arial"/>
              <a:cs typeface="Arial"/>
            </a:rPr>
            <a:t>c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k Ortuño Cuellar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n-US" sz="900" b="1" i="0" strike="noStrike" baseline="0">
              <a:solidFill>
                <a:srgbClr val="000000"/>
              </a:solidFill>
              <a:latin typeface="Arial"/>
              <a:cs typeface="Arial"/>
            </a:rPr>
            <a:t>GERENTE DE SUPERVISION  "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ECCORT"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202302</xdr:colOff>
      <xdr:row>100</xdr:row>
      <xdr:rowOff>30395</xdr:rowOff>
    </xdr:from>
    <xdr:to>
      <xdr:col>9</xdr:col>
      <xdr:colOff>11672</xdr:colOff>
      <xdr:row>102</xdr:row>
      <xdr:rowOff>92595</xdr:rowOff>
    </xdr:to>
    <xdr:sp macro="" textlink="">
      <xdr:nvSpPr>
        <xdr:cNvPr id="12" name="Text Box 4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 txBox="1">
          <a:spLocks noChangeArrowheads="1"/>
        </xdr:cNvSpPr>
      </xdr:nvSpPr>
      <xdr:spPr bwMode="auto">
        <a:xfrm>
          <a:off x="6917427" y="17175395"/>
          <a:ext cx="2123945" cy="386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 Ing. Manuel Tanuz Gonzáles</a:t>
          </a:r>
        </a:p>
        <a:p>
          <a:pPr algn="ctr" rtl="1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ea typeface="+mn-ea"/>
              <a:cs typeface="Arial"/>
            </a:rPr>
            <a:t>FISC</a:t>
          </a: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AL DE OBRA</a:t>
          </a:r>
        </a:p>
      </xdr:txBody>
    </xdr:sp>
    <xdr:clientData/>
  </xdr:twoCellAnchor>
  <xdr:twoCellAnchor>
    <xdr:from>
      <xdr:col>9</xdr:col>
      <xdr:colOff>188357</xdr:colOff>
      <xdr:row>100</xdr:row>
      <xdr:rowOff>27146</xdr:rowOff>
    </xdr:from>
    <xdr:to>
      <xdr:col>13</xdr:col>
      <xdr:colOff>76039</xdr:colOff>
      <xdr:row>103</xdr:row>
      <xdr:rowOff>43545</xdr:rowOff>
    </xdr:to>
    <xdr:sp macro="" textlink="">
      <xdr:nvSpPr>
        <xdr:cNvPr id="13" name="Text Box 11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 txBox="1">
          <a:spLocks noChangeArrowheads="1"/>
        </xdr:cNvSpPr>
      </xdr:nvSpPr>
      <xdr:spPr bwMode="auto">
        <a:xfrm>
          <a:off x="9218057" y="17172146"/>
          <a:ext cx="2859482" cy="6545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BO" sz="900">
              <a:effectLst/>
              <a:latin typeface="Arial" pitchFamily="34" charset="0"/>
              <a:cs typeface="Arial" pitchFamily="34" charset="0"/>
            </a:rPr>
            <a:t>Arq. Edzon Reynaldo Copa Rojas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DIRECTOR</a:t>
          </a:r>
          <a:r>
            <a:rPr lang="es-ES" sz="900" b="1" i="0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 DE INFRAESTRUCTURA</a:t>
          </a:r>
        </a:p>
        <a:p>
          <a:pPr algn="ctr" rtl="0">
            <a:defRPr sz="1000"/>
          </a:pPr>
          <a:r>
            <a:rPr lang="es-ES" sz="1050" b="1" i="0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endParaRPr lang="es-ES" sz="105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101</xdr:row>
      <xdr:rowOff>0</xdr:rowOff>
    </xdr:from>
    <xdr:to>
      <xdr:col>1</xdr:col>
      <xdr:colOff>1238250</xdr:colOff>
      <xdr:row>101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>
          <a:spLocks noChangeArrowheads="1"/>
        </xdr:cNvSpPr>
      </xdr:nvSpPr>
      <xdr:spPr bwMode="auto">
        <a:xfrm>
          <a:off x="123825" y="17306925"/>
          <a:ext cx="14763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1392555</xdr:colOff>
      <xdr:row>101</xdr:row>
      <xdr:rowOff>0</xdr:rowOff>
    </xdr:from>
    <xdr:to>
      <xdr:col>5</xdr:col>
      <xdr:colOff>212749</xdr:colOff>
      <xdr:row>101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>
          <a:spLocks noChangeArrowheads="1"/>
        </xdr:cNvSpPr>
      </xdr:nvSpPr>
      <xdr:spPr bwMode="auto">
        <a:xfrm>
          <a:off x="1754505" y="17306925"/>
          <a:ext cx="4220869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Lic. Demetrio Gómez C.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ENCARGADO PROYECTO 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10</xdr:col>
      <xdr:colOff>55245</xdr:colOff>
      <xdr:row>101</xdr:row>
      <xdr:rowOff>0</xdr:rowOff>
    </xdr:from>
    <xdr:to>
      <xdr:col>13</xdr:col>
      <xdr:colOff>155053</xdr:colOff>
      <xdr:row>101</xdr:row>
      <xdr:rowOff>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 txBox="1">
          <a:spLocks noChangeArrowheads="1"/>
        </xdr:cNvSpPr>
      </xdr:nvSpPr>
      <xdr:spPr bwMode="auto">
        <a:xfrm>
          <a:off x="9665970" y="17306925"/>
          <a:ext cx="2490583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Jhonny Calderon</a:t>
          </a:r>
        </a:p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SUPERVISOR DE OBRAS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280035</xdr:colOff>
      <xdr:row>101</xdr:row>
      <xdr:rowOff>0</xdr:rowOff>
    </xdr:from>
    <xdr:to>
      <xdr:col>17</xdr:col>
      <xdr:colOff>234362</xdr:colOff>
      <xdr:row>101</xdr:row>
      <xdr:rowOff>0</xdr:rowOff>
    </xdr:to>
    <xdr:sp macro="" textlink="">
      <xdr:nvSpPr>
        <xdr:cNvPr id="5" name="Text Box 5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 txBox="1">
          <a:spLocks noChangeArrowheads="1"/>
        </xdr:cNvSpPr>
      </xdr:nvSpPr>
      <xdr:spPr bwMode="auto">
        <a:xfrm>
          <a:off x="12281535" y="17306925"/>
          <a:ext cx="3459527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Ricardo Gónzales L.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STRIO. DEPARTAMEMNTAL DE OBRAS PUBLICAS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217962</xdr:colOff>
      <xdr:row>100</xdr:row>
      <xdr:rowOff>22481</xdr:rowOff>
    </xdr:from>
    <xdr:to>
      <xdr:col>16</xdr:col>
      <xdr:colOff>311349</xdr:colOff>
      <xdr:row>103</xdr:row>
      <xdr:rowOff>23281</xdr:rowOff>
    </xdr:to>
    <xdr:sp macro="" textlink="">
      <xdr:nvSpPr>
        <xdr:cNvPr id="6" name="Text Box 1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 txBox="1">
          <a:spLocks noChangeArrowheads="1"/>
        </xdr:cNvSpPr>
      </xdr:nvSpPr>
      <xdr:spPr bwMode="auto">
        <a:xfrm>
          <a:off x="12219462" y="17167481"/>
          <a:ext cx="2893737" cy="638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Arq. Marcelo Arcienega Leon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SECRETARIO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DE OBRAS PUBLICAS Y SERVICIOS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438150</xdr:colOff>
      <xdr:row>0</xdr:row>
      <xdr:rowOff>19050</xdr:rowOff>
    </xdr:from>
    <xdr:to>
      <xdr:col>0</xdr:col>
      <xdr:colOff>876300</xdr:colOff>
      <xdr:row>1</xdr:row>
      <xdr:rowOff>180975</xdr:rowOff>
    </xdr:to>
    <xdr:pic>
      <xdr:nvPicPr>
        <xdr:cNvPr id="7" name="Picture 303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361950" y="19050"/>
          <a:ext cx="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85725</xdr:colOff>
      <xdr:row>0</xdr:row>
      <xdr:rowOff>47625</xdr:rowOff>
    </xdr:from>
    <xdr:to>
      <xdr:col>1</xdr:col>
      <xdr:colOff>552450</xdr:colOff>
      <xdr:row>2</xdr:row>
      <xdr:rowOff>133350</xdr:rowOff>
    </xdr:to>
    <xdr:pic>
      <xdr:nvPicPr>
        <xdr:cNvPr id="8" name="Picture 303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85725" y="47625"/>
          <a:ext cx="8286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16</xdr:col>
      <xdr:colOff>490971</xdr:colOff>
      <xdr:row>0</xdr:row>
      <xdr:rowOff>55418</xdr:rowOff>
    </xdr:from>
    <xdr:ext cx="529936" cy="698789"/>
    <xdr:pic>
      <xdr:nvPicPr>
        <xdr:cNvPr id="9" name="Picture 6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92821" y="55418"/>
          <a:ext cx="529936" cy="6987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83374</xdr:colOff>
      <xdr:row>99</xdr:row>
      <xdr:rowOff>112608</xdr:rowOff>
    </xdr:from>
    <xdr:to>
      <xdr:col>1</xdr:col>
      <xdr:colOff>1978491</xdr:colOff>
      <xdr:row>103</xdr:row>
      <xdr:rowOff>132684</xdr:rowOff>
    </xdr:to>
    <xdr:sp macro="" textlink="">
      <xdr:nvSpPr>
        <xdr:cNvPr id="10" name="Text Box 1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 txBox="1">
          <a:spLocks noChangeArrowheads="1"/>
        </xdr:cNvSpPr>
      </xdr:nvSpPr>
      <xdr:spPr bwMode="auto">
        <a:xfrm>
          <a:off x="445324" y="17095683"/>
          <a:ext cx="1895117" cy="8201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Victor Rocabado Cuellar. 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Superintendente de Obra   </a:t>
          </a: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EMPRESA CONSTRUCTORA CHUQUISACA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1849279</xdr:colOff>
      <xdr:row>100</xdr:row>
      <xdr:rowOff>40641</xdr:rowOff>
    </xdr:from>
    <xdr:to>
      <xdr:col>5</xdr:col>
      <xdr:colOff>255230</xdr:colOff>
      <xdr:row>103</xdr:row>
      <xdr:rowOff>50835</xdr:rowOff>
    </xdr:to>
    <xdr:sp macro="" textlink="">
      <xdr:nvSpPr>
        <xdr:cNvPr id="11" name="Text Box 3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 txBox="1">
          <a:spLocks noChangeArrowheads="1"/>
        </xdr:cNvSpPr>
      </xdr:nvSpPr>
      <xdr:spPr bwMode="auto">
        <a:xfrm>
          <a:off x="2211229" y="17185641"/>
          <a:ext cx="3806626" cy="6483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Eri</a:t>
          </a:r>
          <a:r>
            <a:rPr lang="en-US" sz="900" b="0" i="0" strike="noStrike" baseline="0">
              <a:solidFill>
                <a:srgbClr val="000000"/>
              </a:solidFill>
              <a:latin typeface="Arial"/>
              <a:cs typeface="Arial"/>
            </a:rPr>
            <a:t>c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k Ortuño Cuellar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n-US" sz="900" b="1" i="0" strike="noStrike" baseline="0">
              <a:solidFill>
                <a:srgbClr val="000000"/>
              </a:solidFill>
              <a:latin typeface="Arial"/>
              <a:cs typeface="Arial"/>
            </a:rPr>
            <a:t>GERENTE DE SUPERVISION  "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ECCORT"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202302</xdr:colOff>
      <xdr:row>100</xdr:row>
      <xdr:rowOff>30395</xdr:rowOff>
    </xdr:from>
    <xdr:to>
      <xdr:col>9</xdr:col>
      <xdr:colOff>11672</xdr:colOff>
      <xdr:row>102</xdr:row>
      <xdr:rowOff>92595</xdr:rowOff>
    </xdr:to>
    <xdr:sp macro="" textlink="">
      <xdr:nvSpPr>
        <xdr:cNvPr id="12" name="Text Box 4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 txBox="1">
          <a:spLocks noChangeArrowheads="1"/>
        </xdr:cNvSpPr>
      </xdr:nvSpPr>
      <xdr:spPr bwMode="auto">
        <a:xfrm>
          <a:off x="6917427" y="17175395"/>
          <a:ext cx="2123945" cy="386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 Ing. Manuel Tanuz Gonzáles</a:t>
          </a:r>
        </a:p>
        <a:p>
          <a:pPr algn="ctr" rtl="1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ea typeface="+mn-ea"/>
              <a:cs typeface="Arial"/>
            </a:rPr>
            <a:t>FISC</a:t>
          </a: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AL DE OBRA</a:t>
          </a:r>
        </a:p>
      </xdr:txBody>
    </xdr:sp>
    <xdr:clientData/>
  </xdr:twoCellAnchor>
  <xdr:twoCellAnchor>
    <xdr:from>
      <xdr:col>9</xdr:col>
      <xdr:colOff>188357</xdr:colOff>
      <xdr:row>100</xdr:row>
      <xdr:rowOff>27146</xdr:rowOff>
    </xdr:from>
    <xdr:to>
      <xdr:col>13</xdr:col>
      <xdr:colOff>76039</xdr:colOff>
      <xdr:row>103</xdr:row>
      <xdr:rowOff>43545</xdr:rowOff>
    </xdr:to>
    <xdr:sp macro="" textlink="">
      <xdr:nvSpPr>
        <xdr:cNvPr id="13" name="Text Box 11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SpPr txBox="1">
          <a:spLocks noChangeArrowheads="1"/>
        </xdr:cNvSpPr>
      </xdr:nvSpPr>
      <xdr:spPr bwMode="auto">
        <a:xfrm>
          <a:off x="9218057" y="17172146"/>
          <a:ext cx="2859482" cy="6545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BO" sz="900">
              <a:effectLst/>
              <a:latin typeface="Arial" pitchFamily="34" charset="0"/>
              <a:cs typeface="Arial" pitchFamily="34" charset="0"/>
            </a:rPr>
            <a:t>Arq. Edzon Reynaldo Copa Rojas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DIRECTOR</a:t>
          </a:r>
          <a:r>
            <a:rPr lang="es-ES" sz="900" b="1" i="0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 DE INFRAESTRUCTURA</a:t>
          </a:r>
        </a:p>
        <a:p>
          <a:pPr algn="ctr" rtl="0">
            <a:defRPr sz="1000"/>
          </a:pPr>
          <a:r>
            <a:rPr lang="es-ES" sz="1050" b="1" i="0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endParaRPr lang="es-ES" sz="105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5E367-8AD7-41BA-A709-CB87E28338D9}">
  <sheetPr codeName="Hoja15">
    <tabColor theme="3" tint="-0.249977111117893"/>
  </sheetPr>
  <dimension ref="A1:R53"/>
  <sheetViews>
    <sheetView showGridLines="0" tabSelected="1" view="pageBreakPreview" zoomScaleNormal="115" zoomScaleSheetLayoutView="100" workbookViewId="0">
      <selection activeCell="O27" sqref="O27"/>
    </sheetView>
  </sheetViews>
  <sheetFormatPr baseColWidth="10" defaultColWidth="11.44140625" defaultRowHeight="12.75" customHeight="1"/>
  <cols>
    <col min="1" max="1" width="1.6640625" style="120" customWidth="1"/>
    <col min="2" max="2" width="2.6640625" style="120" customWidth="1"/>
    <col min="3" max="3" width="25.6640625" style="120" customWidth="1"/>
    <col min="4" max="5" width="2.6640625" style="120" customWidth="1"/>
    <col min="6" max="6" width="30.6640625" style="120" customWidth="1"/>
    <col min="7" max="8" width="2.6640625" style="120" customWidth="1"/>
    <col min="9" max="9" width="30.6640625" style="120" customWidth="1"/>
    <col min="10" max="10" width="2.6640625" style="120" customWidth="1"/>
    <col min="11" max="12" width="15.6640625" style="120" customWidth="1"/>
    <col min="13" max="13" width="2.6640625" style="120" customWidth="1"/>
    <col min="14" max="14" width="1.6640625" style="120" customWidth="1"/>
    <col min="15" max="16384" width="11.44140625" style="120"/>
  </cols>
  <sheetData>
    <row r="1" spans="1:18" ht="9.9" customHeight="1">
      <c r="A1" s="665"/>
      <c r="B1" s="665"/>
      <c r="C1" s="665"/>
      <c r="D1" s="665"/>
      <c r="E1" s="665"/>
      <c r="F1" s="665"/>
      <c r="G1" s="665"/>
      <c r="H1" s="665"/>
      <c r="I1" s="665"/>
      <c r="J1" s="665"/>
      <c r="K1" s="665"/>
      <c r="L1" s="665"/>
      <c r="M1" s="665"/>
      <c r="N1" s="665"/>
    </row>
    <row r="2" spans="1:18" ht="50.1" customHeight="1">
      <c r="A2" s="665"/>
      <c r="B2" s="647"/>
      <c r="C2" s="670" t="s">
        <v>278</v>
      </c>
      <c r="D2" s="670"/>
      <c r="E2" s="670"/>
      <c r="F2" s="670"/>
      <c r="G2" s="670"/>
      <c r="H2" s="670"/>
      <c r="I2" s="670"/>
      <c r="J2" s="670"/>
      <c r="K2" s="670"/>
      <c r="L2" s="670"/>
      <c r="M2" s="647"/>
      <c r="N2" s="665"/>
    </row>
    <row r="3" spans="1:18" ht="30" customHeight="1">
      <c r="A3" s="665"/>
      <c r="B3" s="647"/>
      <c r="C3" s="668" t="s">
        <v>149</v>
      </c>
      <c r="D3" s="668"/>
      <c r="E3" s="668"/>
      <c r="F3" s="668" t="s">
        <v>254</v>
      </c>
      <c r="G3" s="668"/>
      <c r="H3" s="668"/>
      <c r="I3" s="668"/>
      <c r="J3" s="668"/>
      <c r="K3" s="668"/>
      <c r="L3" s="668"/>
      <c r="M3" s="647"/>
      <c r="N3" s="665"/>
    </row>
    <row r="4" spans="1:18" ht="24.9" customHeight="1">
      <c r="A4" s="665"/>
      <c r="B4" s="647"/>
      <c r="C4" s="669" t="s">
        <v>148</v>
      </c>
      <c r="D4" s="669"/>
      <c r="E4" s="669"/>
      <c r="F4" s="672" t="s">
        <v>77</v>
      </c>
      <c r="G4" s="672"/>
      <c r="H4" s="672"/>
      <c r="I4" s="672"/>
      <c r="J4" s="672"/>
      <c r="K4" s="672"/>
      <c r="L4" s="672"/>
      <c r="M4" s="647"/>
      <c r="N4" s="665"/>
    </row>
    <row r="5" spans="1:18" s="121" customFormat="1" ht="24.9" customHeight="1">
      <c r="A5" s="666"/>
      <c r="B5" s="667"/>
      <c r="C5" s="671" t="s">
        <v>76</v>
      </c>
      <c r="D5" s="671"/>
      <c r="E5" s="671"/>
      <c r="F5" s="671"/>
      <c r="G5" s="671"/>
      <c r="H5" s="671"/>
      <c r="I5" s="671"/>
      <c r="J5" s="671"/>
      <c r="K5" s="671"/>
      <c r="L5" s="671"/>
      <c r="M5" s="647"/>
      <c r="N5" s="665"/>
    </row>
    <row r="6" spans="1:18" ht="5.0999999999999996" customHeight="1">
      <c r="A6" s="665"/>
      <c r="B6" s="647"/>
      <c r="C6" s="647"/>
      <c r="D6" s="647"/>
      <c r="E6" s="647"/>
      <c r="F6" s="647"/>
      <c r="G6" s="647"/>
      <c r="H6" s="647"/>
      <c r="I6" s="647"/>
      <c r="J6" s="647"/>
      <c r="K6" s="647"/>
      <c r="L6" s="647"/>
      <c r="M6" s="647"/>
      <c r="N6" s="665"/>
    </row>
    <row r="7" spans="1:18" ht="30" customHeight="1">
      <c r="A7" s="665"/>
      <c r="B7" s="647"/>
      <c r="C7" s="648"/>
      <c r="D7" s="648"/>
      <c r="E7" s="648"/>
      <c r="F7" s="648" t="s">
        <v>276</v>
      </c>
      <c r="G7" s="647"/>
      <c r="H7" s="647"/>
      <c r="I7" s="647"/>
      <c r="J7" s="648"/>
      <c r="K7" s="647"/>
      <c r="L7" s="647"/>
      <c r="M7" s="647"/>
      <c r="N7" s="665"/>
    </row>
    <row r="8" spans="1:18" ht="5.0999999999999996" customHeight="1">
      <c r="A8" s="665"/>
      <c r="B8" s="647"/>
      <c r="C8" s="634"/>
      <c r="D8" s="634"/>
      <c r="E8" s="634"/>
      <c r="F8" s="647"/>
      <c r="G8" s="647"/>
      <c r="H8" s="647"/>
      <c r="I8" s="647"/>
      <c r="J8" s="648"/>
      <c r="K8" s="629"/>
      <c r="L8" s="506"/>
      <c r="M8" s="647"/>
      <c r="N8" s="665"/>
    </row>
    <row r="9" spans="1:18" ht="24.9" customHeight="1">
      <c r="A9" s="665"/>
      <c r="B9" s="647"/>
      <c r="C9" s="647"/>
      <c r="D9" s="647"/>
      <c r="E9" s="654"/>
      <c r="F9" s="653" t="s">
        <v>274</v>
      </c>
      <c r="G9" s="652"/>
      <c r="H9" s="662"/>
      <c r="I9" s="653" t="s">
        <v>275</v>
      </c>
      <c r="J9" s="648"/>
      <c r="K9" s="647"/>
      <c r="L9" s="506"/>
      <c r="M9" s="647"/>
      <c r="N9" s="665"/>
      <c r="O9" s="648"/>
      <c r="P9" s="629"/>
      <c r="Q9" s="506"/>
      <c r="R9" s="657"/>
    </row>
    <row r="10" spans="1:18" ht="5.0999999999999996" customHeight="1">
      <c r="A10" s="665"/>
      <c r="B10" s="647"/>
      <c r="C10" s="647"/>
      <c r="D10" s="647"/>
      <c r="E10" s="654"/>
      <c r="F10" s="654"/>
      <c r="G10" s="647"/>
      <c r="H10" s="654"/>
      <c r="I10" s="654"/>
      <c r="J10" s="648"/>
      <c r="K10" s="629"/>
      <c r="L10" s="506"/>
      <c r="M10" s="647"/>
      <c r="N10" s="665"/>
      <c r="O10" s="648"/>
      <c r="P10" s="629"/>
      <c r="Q10" s="506"/>
      <c r="R10" s="657"/>
    </row>
    <row r="11" spans="1:18" ht="24.9" customHeight="1">
      <c r="A11" s="665"/>
      <c r="B11" s="647"/>
      <c r="C11" s="664" t="s">
        <v>273</v>
      </c>
      <c r="D11" s="648"/>
      <c r="E11" s="661"/>
      <c r="F11" s="655">
        <v>0</v>
      </c>
      <c r="G11" s="647"/>
      <c r="H11" s="654"/>
      <c r="I11" s="655">
        <v>0.13769999999999999</v>
      </c>
      <c r="J11" s="648"/>
      <c r="K11" s="629"/>
      <c r="L11" s="506"/>
      <c r="M11" s="647"/>
      <c r="N11" s="665"/>
      <c r="O11" s="648"/>
      <c r="P11" s="629"/>
      <c r="Q11" s="506"/>
      <c r="R11" s="657"/>
    </row>
    <row r="12" spans="1:18" ht="5.0999999999999996" customHeight="1">
      <c r="A12" s="665"/>
      <c r="B12" s="647"/>
      <c r="C12" s="647"/>
      <c r="D12" s="647"/>
      <c r="E12" s="654"/>
      <c r="F12" s="654"/>
      <c r="G12" s="647"/>
      <c r="H12" s="654"/>
      <c r="I12" s="654"/>
      <c r="J12" s="648"/>
      <c r="K12" s="629"/>
      <c r="L12" s="506"/>
      <c r="M12" s="647"/>
      <c r="N12" s="665"/>
      <c r="O12" s="648"/>
      <c r="P12" s="629"/>
      <c r="Q12" s="506"/>
      <c r="R12" s="657"/>
    </row>
    <row r="13" spans="1:18" ht="24.9" customHeight="1">
      <c r="A13" s="665"/>
      <c r="B13" s="647"/>
      <c r="C13" s="648" t="s">
        <v>243</v>
      </c>
      <c r="D13" s="648"/>
      <c r="E13" s="661"/>
      <c r="F13" s="655">
        <f>IF(RIGHT(C13,2)*1&lt;=$K$15,VLOOKUP(C13,ANALISIS!$I$42:$Q$55,8,0)+F11,"")</f>
        <v>0.10340000000000001</v>
      </c>
      <c r="G13" s="650"/>
      <c r="H13" s="655"/>
      <c r="I13" s="655">
        <f>IF(RIGHT(C13,2)*1&lt;=$K$15,VLOOKUP(C13,ANALISIS!$I$42:$Q$55,9,0)+I11,"")</f>
        <v>0.22689999999999999</v>
      </c>
      <c r="J13" s="648"/>
      <c r="K13" s="629"/>
      <c r="L13" s="506"/>
      <c r="M13" s="647"/>
      <c r="N13" s="665"/>
      <c r="O13" s="648"/>
      <c r="P13" s="636"/>
      <c r="Q13" s="506"/>
      <c r="R13" s="657"/>
    </row>
    <row r="14" spans="1:18" ht="5.0999999999999996" customHeight="1">
      <c r="A14" s="665"/>
      <c r="B14" s="647"/>
      <c r="C14" s="648"/>
      <c r="D14" s="648"/>
      <c r="E14" s="661"/>
      <c r="F14" s="656"/>
      <c r="G14" s="629"/>
      <c r="H14" s="656"/>
      <c r="I14" s="654"/>
      <c r="J14" s="648"/>
      <c r="K14" s="629"/>
      <c r="L14" s="506"/>
      <c r="M14" s="647"/>
      <c r="N14" s="665"/>
      <c r="O14" s="649"/>
      <c r="P14" s="636"/>
      <c r="Q14" s="506"/>
      <c r="R14" s="657"/>
    </row>
    <row r="15" spans="1:18" ht="24.9" customHeight="1">
      <c r="A15" s="665"/>
      <c r="B15" s="647"/>
      <c r="C15" s="648" t="s">
        <v>244</v>
      </c>
      <c r="D15" s="648"/>
      <c r="E15" s="661"/>
      <c r="F15" s="655">
        <f>IF(RIGHT(C15,2)*1&lt;=$K$15,VLOOKUP(C15,ANALISIS!$I$42:$Q$55,8,0)+F13,"")</f>
        <v>0.12839999999999999</v>
      </c>
      <c r="G15" s="650"/>
      <c r="H15" s="655"/>
      <c r="I15" s="655">
        <f>IF(RIGHT(C15,2)*1&lt;=$K$15,VLOOKUP(C15,ANALISIS!$I$42:$Q$55,9,0)+I13,"")</f>
        <v>0.2485</v>
      </c>
      <c r="J15" s="648"/>
      <c r="K15" s="658">
        <v>10</v>
      </c>
      <c r="L15" s="506"/>
      <c r="M15" s="647"/>
      <c r="N15" s="665"/>
      <c r="Q15" s="506"/>
      <c r="R15" s="657"/>
    </row>
    <row r="16" spans="1:18" ht="5.0999999999999996" customHeight="1">
      <c r="A16" s="665"/>
      <c r="B16" s="647"/>
      <c r="C16" s="648"/>
      <c r="D16" s="648"/>
      <c r="E16" s="661"/>
      <c r="F16" s="656"/>
      <c r="G16" s="629"/>
      <c r="H16" s="656"/>
      <c r="I16" s="654"/>
      <c r="J16" s="648"/>
      <c r="K16" s="629"/>
      <c r="L16" s="506"/>
      <c r="M16" s="647"/>
      <c r="N16" s="665"/>
    </row>
    <row r="17" spans="1:14" ht="24.9" customHeight="1">
      <c r="A17" s="665"/>
      <c r="B17" s="647"/>
      <c r="C17" s="648" t="s">
        <v>245</v>
      </c>
      <c r="D17" s="648"/>
      <c r="E17" s="661"/>
      <c r="F17" s="655">
        <f>IF(RIGHT(C17,2)*1&lt;=$K$15,VLOOKUP(C17,ANALISIS!$I$42:$Q$55,8,0)+F15,"")</f>
        <v>0.21149999999999999</v>
      </c>
      <c r="G17" s="650"/>
      <c r="H17" s="655"/>
      <c r="I17" s="655">
        <f>IF(RIGHT(C17,2)*1&lt;=$K$15,VLOOKUP(C17,ANALISIS!$I$42:$Q$55,9,0)+I15,"")</f>
        <v>0.3201</v>
      </c>
      <c r="J17" s="648"/>
      <c r="K17" s="629"/>
      <c r="L17" s="506"/>
      <c r="M17" s="647"/>
      <c r="N17" s="665"/>
    </row>
    <row r="18" spans="1:14" ht="5.0999999999999996" customHeight="1">
      <c r="A18" s="665"/>
      <c r="B18" s="647"/>
      <c r="C18" s="648"/>
      <c r="D18" s="648"/>
      <c r="E18" s="661"/>
      <c r="F18" s="656"/>
      <c r="G18" s="629"/>
      <c r="H18" s="656"/>
      <c r="I18" s="654"/>
      <c r="J18" s="648"/>
      <c r="K18" s="629"/>
      <c r="L18" s="506"/>
      <c r="M18" s="647"/>
      <c r="N18" s="665"/>
    </row>
    <row r="19" spans="1:14" ht="24.9" customHeight="1">
      <c r="A19" s="665"/>
      <c r="B19" s="647"/>
      <c r="C19" s="648" t="s">
        <v>246</v>
      </c>
      <c r="D19" s="648"/>
      <c r="E19" s="661"/>
      <c r="F19" s="655">
        <f>IF(RIGHT(C19,2)*1&lt;=$K$15,VLOOKUP(C19,ANALISIS!$I$42:$Q$55,8,0)+F17,"")</f>
        <v>0.28570000000000001</v>
      </c>
      <c r="G19" s="650"/>
      <c r="H19" s="655"/>
      <c r="I19" s="655">
        <f>IF(RIGHT(C19,2)*1&lt;=$K$15,VLOOKUP(C19,ANALISIS!$I$42:$Q$55,9,0)+I17,"")</f>
        <v>0.3841</v>
      </c>
      <c r="J19" s="648"/>
      <c r="K19" s="629"/>
      <c r="L19" s="506"/>
      <c r="M19" s="647"/>
      <c r="N19" s="665"/>
    </row>
    <row r="20" spans="1:14" ht="5.0999999999999996" customHeight="1">
      <c r="A20" s="665"/>
      <c r="B20" s="647"/>
      <c r="C20" s="648"/>
      <c r="D20" s="648"/>
      <c r="E20" s="661"/>
      <c r="F20" s="656"/>
      <c r="G20" s="629"/>
      <c r="H20" s="656"/>
      <c r="I20" s="654"/>
      <c r="J20" s="634"/>
      <c r="K20" s="629"/>
      <c r="L20" s="506"/>
      <c r="M20" s="647"/>
      <c r="N20" s="665"/>
    </row>
    <row r="21" spans="1:14" ht="24.9" customHeight="1">
      <c r="A21" s="665"/>
      <c r="B21" s="647"/>
      <c r="C21" s="648" t="s">
        <v>247</v>
      </c>
      <c r="D21" s="648"/>
      <c r="E21" s="661"/>
      <c r="F21" s="655">
        <f>IF(RIGHT(C21,2)*1&lt;=$K$15,VLOOKUP(C21,ANALISIS!$I$42:$Q$55,8,0)+F19,"")</f>
        <v>0.37069999999999997</v>
      </c>
      <c r="G21" s="650"/>
      <c r="H21" s="655"/>
      <c r="I21" s="655">
        <f>IF(RIGHT(C21,2)*1&lt;=$K$15,VLOOKUP(C21,ANALISIS!$I$42:$Q$55,9,0)+I19,"")</f>
        <v>0.45739999999999997</v>
      </c>
      <c r="J21" s="634"/>
      <c r="K21" s="659">
        <f>1-K23</f>
        <v>0.3508</v>
      </c>
      <c r="L21" s="659">
        <f>1-L23</f>
        <v>0.30249999999999999</v>
      </c>
      <c r="M21" s="647"/>
      <c r="N21" s="665"/>
    </row>
    <row r="22" spans="1:14" ht="5.0999999999999996" customHeight="1">
      <c r="A22" s="665"/>
      <c r="B22" s="647"/>
      <c r="C22" s="648"/>
      <c r="D22" s="648"/>
      <c r="E22" s="661"/>
      <c r="F22" s="656"/>
      <c r="G22" s="629"/>
      <c r="H22" s="656"/>
      <c r="I22" s="654"/>
      <c r="J22" s="634"/>
      <c r="K22" s="647"/>
      <c r="L22" s="647"/>
      <c r="M22" s="647"/>
      <c r="N22" s="665"/>
    </row>
    <row r="23" spans="1:14" ht="24.9" customHeight="1">
      <c r="A23" s="665"/>
      <c r="B23" s="647"/>
      <c r="C23" s="648" t="s">
        <v>248</v>
      </c>
      <c r="D23" s="648"/>
      <c r="E23" s="661"/>
      <c r="F23" s="655">
        <f>IF(RIGHT(C23,2)*1&lt;=$K$15,VLOOKUP(C23,ANALISIS!$I$42:$Q$55,8,0)+F21,"")</f>
        <v>0.56030000000000002</v>
      </c>
      <c r="G23" s="650"/>
      <c r="H23" s="655"/>
      <c r="I23" s="655">
        <f>IF(RIGHT(C23,2)*1&lt;=$K$15,VLOOKUP(C23,ANALISIS!$I$42:$Q$55,9,0)+I21,"")</f>
        <v>0.62090000000000001</v>
      </c>
      <c r="J23" s="634"/>
      <c r="K23" s="659">
        <f>MAX(F11:F25)</f>
        <v>0.6492</v>
      </c>
      <c r="L23" s="659">
        <f>MAX(I11:I25)</f>
        <v>0.69750000000000001</v>
      </c>
      <c r="M23" s="647"/>
      <c r="N23" s="665"/>
    </row>
    <row r="24" spans="1:14" ht="5.0999999999999996" customHeight="1">
      <c r="A24" s="665"/>
      <c r="B24" s="647"/>
      <c r="C24" s="648"/>
      <c r="D24" s="648"/>
      <c r="E24" s="661"/>
      <c r="F24" s="656"/>
      <c r="G24" s="629"/>
      <c r="H24" s="656"/>
      <c r="I24" s="654"/>
      <c r="J24" s="647"/>
      <c r="K24" s="647"/>
      <c r="L24" s="647"/>
      <c r="M24" s="647"/>
      <c r="N24" s="665"/>
    </row>
    <row r="25" spans="1:14" ht="24.9" customHeight="1">
      <c r="A25" s="665"/>
      <c r="B25" s="647"/>
      <c r="C25" s="648" t="s">
        <v>249</v>
      </c>
      <c r="D25" s="648"/>
      <c r="E25" s="661"/>
      <c r="F25" s="655">
        <f>IF(RIGHT(C25,2)*1&lt;=$K$15,VLOOKUP(C25,ANALISIS!$I$42:$Q$55,8,0)+F23,"")</f>
        <v>0.6492</v>
      </c>
      <c r="G25" s="650"/>
      <c r="H25" s="655"/>
      <c r="I25" s="655">
        <f>IF(RIGHT(C25,2)*1&lt;=$K$15,VLOOKUP(C25,ANALISIS!$I$42:$Q$55,9,0)+I23,"")</f>
        <v>0.69750000000000001</v>
      </c>
      <c r="J25" s="647"/>
      <c r="K25" s="651"/>
      <c r="L25" s="647"/>
      <c r="M25" s="647"/>
      <c r="N25" s="665"/>
    </row>
    <row r="26" spans="1:14" ht="5.0999999999999996" customHeight="1">
      <c r="A26" s="665"/>
      <c r="B26" s="647"/>
      <c r="C26" s="648"/>
      <c r="D26" s="648"/>
      <c r="E26" s="661"/>
      <c r="F26" s="655"/>
      <c r="G26" s="650"/>
      <c r="H26" s="655"/>
      <c r="I26" s="654"/>
      <c r="J26" s="647"/>
      <c r="K26" s="651"/>
      <c r="L26" s="647"/>
      <c r="M26" s="647"/>
      <c r="N26" s="665"/>
    </row>
    <row r="27" spans="1:14" ht="24.9" customHeight="1">
      <c r="A27" s="665"/>
      <c r="B27" s="647"/>
      <c r="C27" s="648" t="s">
        <v>250</v>
      </c>
      <c r="D27" s="647"/>
      <c r="E27" s="654"/>
      <c r="F27" s="654"/>
      <c r="G27" s="647"/>
      <c r="H27" s="654"/>
      <c r="I27" s="654"/>
      <c r="J27" s="647"/>
      <c r="K27" s="660"/>
      <c r="L27" s="647"/>
      <c r="M27" s="647"/>
      <c r="N27" s="665"/>
    </row>
    <row r="28" spans="1:14" ht="5.0999999999999996" customHeight="1">
      <c r="A28" s="665"/>
      <c r="B28" s="647"/>
      <c r="C28" s="647"/>
      <c r="D28" s="647"/>
      <c r="E28" s="654"/>
      <c r="F28" s="654"/>
      <c r="G28" s="647"/>
      <c r="H28" s="654"/>
      <c r="I28" s="654"/>
      <c r="J28" s="647"/>
      <c r="K28" s="647"/>
      <c r="L28" s="647"/>
      <c r="M28" s="647"/>
      <c r="N28" s="665"/>
    </row>
    <row r="29" spans="1:14" ht="24.9" customHeight="1">
      <c r="A29" s="665"/>
      <c r="B29" s="647"/>
      <c r="C29" s="648" t="s">
        <v>251</v>
      </c>
      <c r="D29" s="647"/>
      <c r="E29" s="654"/>
      <c r="F29" s="654"/>
      <c r="G29" s="647"/>
      <c r="H29" s="654"/>
      <c r="I29" s="654"/>
      <c r="J29" s="647"/>
      <c r="K29" s="647"/>
      <c r="L29" s="647"/>
      <c r="M29" s="647"/>
      <c r="N29" s="665"/>
    </row>
    <row r="30" spans="1:14" ht="5.0999999999999996" customHeight="1">
      <c r="A30" s="665"/>
      <c r="B30" s="647"/>
      <c r="C30" s="647"/>
      <c r="D30" s="647"/>
      <c r="E30" s="654"/>
      <c r="F30" s="654"/>
      <c r="G30" s="647"/>
      <c r="H30" s="654"/>
      <c r="I30" s="654"/>
      <c r="J30" s="647"/>
      <c r="K30" s="647"/>
      <c r="L30" s="647"/>
      <c r="M30" s="647"/>
      <c r="N30" s="665"/>
    </row>
    <row r="31" spans="1:14" ht="24.9" customHeight="1">
      <c r="A31" s="665"/>
      <c r="B31" s="647"/>
      <c r="C31" s="648" t="s">
        <v>252</v>
      </c>
      <c r="D31" s="647"/>
      <c r="E31" s="654"/>
      <c r="F31" s="654"/>
      <c r="G31" s="647"/>
      <c r="H31" s="654"/>
      <c r="I31" s="654"/>
      <c r="J31" s="647"/>
      <c r="K31" s="647"/>
      <c r="L31" s="647"/>
      <c r="M31" s="647"/>
      <c r="N31" s="665"/>
    </row>
    <row r="32" spans="1:14" ht="5.0999999999999996" customHeight="1">
      <c r="A32" s="665"/>
      <c r="B32" s="647"/>
      <c r="C32" s="647"/>
      <c r="D32" s="647"/>
      <c r="E32" s="654"/>
      <c r="F32" s="654"/>
      <c r="G32" s="647"/>
      <c r="H32" s="654"/>
      <c r="I32" s="663"/>
      <c r="J32" s="651"/>
      <c r="K32" s="647"/>
      <c r="L32" s="647"/>
      <c r="M32" s="647"/>
      <c r="N32" s="665"/>
    </row>
    <row r="33" spans="1:14" ht="5.0999999999999996" customHeight="1">
      <c r="A33" s="665"/>
      <c r="B33" s="647"/>
      <c r="C33" s="647"/>
      <c r="D33" s="647"/>
      <c r="E33" s="647"/>
      <c r="F33" s="647"/>
      <c r="G33" s="647"/>
      <c r="H33" s="647"/>
      <c r="I33" s="651"/>
      <c r="J33" s="651"/>
      <c r="K33" s="647"/>
      <c r="L33" s="647"/>
      <c r="M33" s="647"/>
      <c r="N33" s="665"/>
    </row>
    <row r="34" spans="1:14" ht="39.9" customHeight="1">
      <c r="A34" s="665"/>
      <c r="B34" s="647"/>
      <c r="C34" s="664" t="s">
        <v>277</v>
      </c>
      <c r="D34" s="647"/>
      <c r="E34" s="647"/>
      <c r="F34" s="647"/>
      <c r="G34" s="647"/>
      <c r="H34" s="647"/>
      <c r="I34" s="651"/>
      <c r="J34" s="651"/>
      <c r="K34" s="647"/>
      <c r="L34" s="647"/>
      <c r="M34" s="647"/>
      <c r="N34" s="665"/>
    </row>
    <row r="35" spans="1:14" ht="9.9" customHeight="1">
      <c r="A35" s="665"/>
      <c r="B35" s="647"/>
      <c r="C35" s="647"/>
      <c r="D35" s="647"/>
      <c r="E35" s="647"/>
      <c r="F35" s="647"/>
      <c r="G35" s="647"/>
      <c r="H35" s="647"/>
      <c r="I35" s="647"/>
      <c r="J35" s="647"/>
      <c r="K35" s="647"/>
      <c r="L35" s="647"/>
      <c r="M35" s="647"/>
      <c r="N35" s="665"/>
    </row>
    <row r="36" spans="1:14" ht="9.9" customHeight="1">
      <c r="A36" s="665"/>
      <c r="B36" s="665"/>
      <c r="C36" s="665"/>
      <c r="D36" s="665"/>
      <c r="E36" s="665"/>
      <c r="F36" s="665"/>
      <c r="G36" s="665"/>
      <c r="H36" s="665"/>
      <c r="I36" s="665"/>
      <c r="J36" s="665"/>
      <c r="K36" s="665"/>
      <c r="L36" s="665"/>
      <c r="M36" s="665"/>
      <c r="N36" s="665"/>
    </row>
    <row r="37" spans="1:14" ht="20.100000000000001" customHeight="1"/>
    <row r="38" spans="1:14" ht="20.100000000000001" customHeight="1"/>
    <row r="39" spans="1:14" ht="20.100000000000001" customHeight="1"/>
    <row r="40" spans="1:14" ht="20.100000000000001" customHeight="1"/>
    <row r="41" spans="1:14" ht="20.100000000000001" customHeight="1"/>
    <row r="42" spans="1:14" ht="20.100000000000001" customHeight="1"/>
    <row r="43" spans="1:14" ht="20.100000000000001" customHeight="1"/>
    <row r="44" spans="1:14" ht="20.100000000000001" customHeight="1"/>
    <row r="45" spans="1:14" ht="20.100000000000001" customHeight="1"/>
    <row r="46" spans="1:14" ht="24.9" customHeight="1"/>
    <row r="47" spans="1:14" ht="5.0999999999999996" customHeight="1"/>
    <row r="48" spans="1:14" ht="24.9" customHeight="1"/>
    <row r="49" ht="24.9" customHeight="1"/>
    <row r="50" ht="24.9" customHeight="1"/>
    <row r="51" ht="24.9" customHeight="1"/>
    <row r="52" ht="24.9" customHeight="1"/>
    <row r="53" ht="24.9" customHeight="1"/>
  </sheetData>
  <mergeCells count="3">
    <mergeCell ref="C2:L2"/>
    <mergeCell ref="C5:L5"/>
    <mergeCell ref="F4:L4"/>
  </mergeCells>
  <phoneticPr fontId="76" type="noConversion"/>
  <conditionalFormatting sqref="J16:L23 L9 C13:E26 G9:H9 C8:E8 C7:F7 K8:L8 P9:R14 Q15:R15 K10:L15">
    <cfRule type="expression" dxfId="55" priority="206">
      <formula>ISODD(ROW(#REF!))</formula>
    </cfRule>
  </conditionalFormatting>
  <conditionalFormatting sqref="K8">
    <cfRule type="expression" dxfId="54" priority="209">
      <formula>IF(VLOOKUP(#REF!,#REF!,3,0)&lt;&gt;K8,1,0)</formula>
    </cfRule>
  </conditionalFormatting>
  <conditionalFormatting sqref="P10">
    <cfRule type="expression" dxfId="53" priority="211">
      <formula>IF(VLOOKUP(#REF!,#REF!,6,0)&lt;&gt;P10,1,0)</formula>
    </cfRule>
  </conditionalFormatting>
  <conditionalFormatting sqref="K19">
    <cfRule type="expression" dxfId="52" priority="212">
      <formula>IF(VLOOKUP(#REF!,#REF!,4,0)&lt;&gt;K19,1,0)</formula>
    </cfRule>
  </conditionalFormatting>
  <conditionalFormatting sqref="C7:E7">
    <cfRule type="expression" dxfId="51" priority="50">
      <formula>ISODD(ROW(#REF!))</formula>
    </cfRule>
  </conditionalFormatting>
  <conditionalFormatting sqref="D11:E11">
    <cfRule type="expression" dxfId="50" priority="49">
      <formula>ISODD(ROW(#REF!))</formula>
    </cfRule>
  </conditionalFormatting>
  <conditionalFormatting sqref="I11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{851C1EAF-BB93-4B0A-BC8A-787B986C55C1}</x14:id>
        </ext>
      </extLst>
    </cfRule>
    <cfRule type="expression" dxfId="49" priority="48">
      <formula>ISODD(ROW(#REF!))</formula>
    </cfRule>
  </conditionalFormatting>
  <conditionalFormatting sqref="F13:H26">
    <cfRule type="expression" dxfId="48" priority="47">
      <formula>ISODD(ROW(#REF!))</formula>
    </cfRule>
  </conditionalFormatting>
  <conditionalFormatting sqref="F13:H13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{5FBCD92A-FF7C-4EC9-8ADD-E495239E0A75}</x14:id>
        </ext>
      </extLst>
    </cfRule>
  </conditionalFormatting>
  <conditionalFormatting sqref="F12:H26 I11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{8228C67A-AAB4-43BB-8BD8-1FE8D0A82822}</x14:id>
        </ext>
      </extLst>
    </cfRule>
  </conditionalFormatting>
  <conditionalFormatting sqref="P9">
    <cfRule type="expression" dxfId="47" priority="215">
      <formula>IF(VLOOKUP(#REF!,#REF!,6,0)&lt;&gt;P9,1,0)</formula>
    </cfRule>
  </conditionalFormatting>
  <conditionalFormatting sqref="I13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{633661DC-265A-4ABD-A1F7-1E68D26157AB}</x14:id>
        </ext>
      </extLst>
    </cfRule>
    <cfRule type="expression" dxfId="46" priority="43">
      <formula>ISODD(ROW(#REF!))</formula>
    </cfRule>
  </conditionalFormatting>
  <conditionalFormatting sqref="I13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{7553E142-4EBC-4E7B-8BF6-FA69E67E1A05}</x14:id>
        </ext>
      </extLst>
    </cfRule>
  </conditionalFormatting>
  <conditionalFormatting sqref="I11:I25">
    <cfRule type="dataBar" priority="7">
      <dataBar>
        <cfvo type="percent" val="0"/>
        <cfvo type="percent" val="100"/>
        <color rgb="FF638EC6"/>
      </dataBar>
      <extLst>
        <ext xmlns:x14="http://schemas.microsoft.com/office/spreadsheetml/2009/9/main" uri="{B025F937-C7B1-47D3-B67F-A62EFF666E3E}">
          <x14:id>{69D5DBD6-5AC4-4D20-B0A4-27174FC6095A}</x14:id>
        </ext>
      </extLst>
    </cfRule>
    <cfRule type="dataBar" priority="1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{B3090C60-A360-43D8-ACE3-2BF08AA81210}</x14:id>
        </ext>
      </extLst>
    </cfRule>
  </conditionalFormatting>
  <conditionalFormatting sqref="I15">
    <cfRule type="dataBar" priority="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{64412348-632C-4324-B9FD-53177D8390F2}</x14:id>
        </ext>
      </extLst>
    </cfRule>
    <cfRule type="expression" dxfId="45" priority="39">
      <formula>ISODD(ROW(#REF!))</formula>
    </cfRule>
  </conditionalFormatting>
  <conditionalFormatting sqref="I15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{1A2F5D80-B1A7-4E3A-9F8C-3ADFE60CDDEA}</x14:id>
        </ext>
      </extLst>
    </cfRule>
  </conditionalFormatting>
  <conditionalFormatting sqref="I17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{4669049B-C822-45B4-AFF5-C7BFFA62A428}</x14:id>
        </ext>
      </extLst>
    </cfRule>
    <cfRule type="expression" dxfId="44" priority="36">
      <formula>ISODD(ROW(#REF!))</formula>
    </cfRule>
  </conditionalFormatting>
  <conditionalFormatting sqref="I17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{E7AA5A64-E186-4625-A7EB-48F7BFB1A2F1}</x14:id>
        </ext>
      </extLst>
    </cfRule>
  </conditionalFormatting>
  <conditionalFormatting sqref="I19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{11295875-2606-4AE5-BA7C-6C3D7972A9A4}</x14:id>
        </ext>
      </extLst>
    </cfRule>
    <cfRule type="expression" dxfId="43" priority="33">
      <formula>ISODD(ROW(#REF!))</formula>
    </cfRule>
  </conditionalFormatting>
  <conditionalFormatting sqref="I19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{F46FBD6B-6B90-4550-A358-6122BBFC6468}</x14:id>
        </ext>
      </extLst>
    </cfRule>
  </conditionalFormatting>
  <conditionalFormatting sqref="I21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{42EFDF09-B4A3-44C1-942F-AA4E9198199A}</x14:id>
        </ext>
      </extLst>
    </cfRule>
    <cfRule type="expression" dxfId="42" priority="30">
      <formula>ISODD(ROW(#REF!))</formula>
    </cfRule>
  </conditionalFormatting>
  <conditionalFormatting sqref="I21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{B8143B39-0834-4823-898E-9CBB08C6A6CF}</x14:id>
        </ext>
      </extLst>
    </cfRule>
  </conditionalFormatting>
  <conditionalFormatting sqref="I23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{76563972-BB0D-4F1C-9CA1-53339D8302E4}</x14:id>
        </ext>
      </extLst>
    </cfRule>
    <cfRule type="expression" dxfId="41" priority="27">
      <formula>ISODD(ROW(#REF!))</formula>
    </cfRule>
  </conditionalFormatting>
  <conditionalFormatting sqref="I23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{86C1D4E0-9093-43D9-A998-BD3047754957}</x14:id>
        </ext>
      </extLst>
    </cfRule>
  </conditionalFormatting>
  <conditionalFormatting sqref="I25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{710C3970-7AE5-418E-8FA9-0372FA13131E}</x14:id>
        </ext>
      </extLst>
    </cfRule>
    <cfRule type="expression" dxfId="40" priority="24">
      <formula>ISODD(ROW(#REF!))</formula>
    </cfRule>
  </conditionalFormatting>
  <conditionalFormatting sqref="I25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{83167024-252A-4743-B79C-18BDD62F5086}</x14:id>
        </ext>
      </extLst>
    </cfRule>
  </conditionalFormatting>
  <conditionalFormatting sqref="F11">
    <cfRule type="expression" dxfId="39" priority="20">
      <formula>ISODD(ROW(#REF!))</formula>
    </cfRule>
  </conditionalFormatting>
  <conditionalFormatting sqref="F11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{22861AC8-DBAC-4CD0-A316-8F78BE9DE0BA}</x14:id>
        </ext>
      </extLst>
    </cfRule>
  </conditionalFormatting>
  <conditionalFormatting sqref="F11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{231EEBBC-85FA-4958-99AD-CA4C6046C43C}</x14:id>
        </ext>
      </extLst>
    </cfRule>
  </conditionalFormatting>
  <conditionalFormatting sqref="F11:F25">
    <cfRule type="dataBar" priority="9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{48FBB6AE-9DA1-46E0-AA5D-5900F6A3E24F}</x14:id>
        </ext>
      </extLst>
    </cfRule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{49E905AF-A426-4957-89FC-FB0AB155C5A1}</x14:id>
        </ext>
      </extLst>
    </cfRule>
  </conditionalFormatting>
  <conditionalFormatting sqref="F9">
    <cfRule type="expression" dxfId="38" priority="16">
      <formula>ISODD(ROW(#REF!))</formula>
    </cfRule>
  </conditionalFormatting>
  <conditionalFormatting sqref="I9">
    <cfRule type="expression" dxfId="37" priority="15">
      <formula>ISODD(ROW(#REF!))</formula>
    </cfRule>
  </conditionalFormatting>
  <conditionalFormatting sqref="I11:I26"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{95224A19-1ECD-4069-9001-445D00D10ED3}</x14:id>
        </ext>
      </extLst>
    </cfRule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{0AE7A2F4-5773-4BAC-AF1C-8D4AF67B687C}</x14:id>
        </ext>
      </extLst>
    </cfRule>
  </conditionalFormatting>
  <conditionalFormatting sqref="C27">
    <cfRule type="expression" dxfId="36" priority="3">
      <formula>ISODD(ROW(#REF!))</formula>
    </cfRule>
  </conditionalFormatting>
  <conditionalFormatting sqref="C29">
    <cfRule type="expression" dxfId="35" priority="2">
      <formula>ISODD(ROW(#REF!))</formula>
    </cfRule>
  </conditionalFormatting>
  <conditionalFormatting sqref="C31">
    <cfRule type="expression" dxfId="34" priority="1">
      <formula>ISODD(ROW(#REF!))</formula>
    </cfRule>
  </conditionalFormatting>
  <pageMargins left="0.39370078740157483" right="0.39370078740157483" top="0.59055118110236227" bottom="0.39370078740157483" header="0" footer="0"/>
  <pageSetup paperSize="256" scale="88" orientation="landscape" horizontalDpi="4294967293" r:id="rId1"/>
  <headerFooter scaleWithDoc="0"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4" name="Button 3">
              <controlPr defaultSize="0" autoFill="0" autoPict="0" macro="[0]!Botón3_Haga_clic_en">
                <anchor moveWithCells="1" sizeWithCells="1">
                  <from>
                    <xdr:col>3</xdr:col>
                    <xdr:colOff>182880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5" name="Button 4">
              <controlPr defaultSize="0" autoFill="0" autoPict="0" macro="[0]!Botón4_Haga_clic_en">
                <anchor moveWithCells="1" sizeWithCells="1">
                  <from>
                    <xdr:col>7</xdr:col>
                    <xdr:colOff>0</xdr:colOff>
                    <xdr:row>33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6" name="Button 6">
              <controlPr defaultSize="0" autoFill="0" autoPict="0" macro="[0]!Botón6_Haga_clic_en">
                <anchor moveWithCells="1" sizeWithCells="1">
                  <from>
                    <xdr:col>10</xdr:col>
                    <xdr:colOff>0</xdr:colOff>
                    <xdr:row>33</xdr:row>
                    <xdr:rowOff>0</xdr:rowOff>
                  </from>
                  <to>
                    <xdr:col>12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7" name="Button 7">
              <controlPr defaultSize="0" autoFill="0" autoPict="0" macro="[0]!Botón7_Haga_clic_en">
                <anchor moveWithCells="1" siz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8" name="Button 8">
              <controlPr defaultSize="0" autoFill="0" autoPict="0" macro="[0]!Botón8_Haga_clic_en">
                <anchor moveWithCells="1" siz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1714500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9" name="Button 9">
              <controlPr defaultSize="0" autoFill="0" autoPict="0" macro="[0]!Botón9_Haga_clic_en">
                <anchor moveWithCells="1" siz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0" name="Button 10">
              <controlPr defaultSize="0" autoFill="0" autoPict="0" macro="[0]!Botón10_Haga_clic_en">
                <anchor moveWithCells="1" siz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1" name="Button 11">
              <controlPr defaultSize="0" autoFill="0" autoPict="0" macro="[0]!Botón11_Haga_clic_en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2" name="Button 12">
              <controlPr defaultSize="0" autoFill="0" autoPict="0" macro="[0]!Botón12_Haga_clic_en">
                <anchor moveWithCells="1" siz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13" name="Button 18">
              <controlPr defaultSize="0" autoFill="0" autoPict="0" macro="[0]!Botón13_Haga_clic_en">
                <anchor moveWithCells="1" siz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14" name="Button 29">
              <controlPr defaultSize="0" autoFill="0" autoPict="0">
                <anchor moveWithCells="1" sizeWithCells="1">
                  <from>
                    <xdr:col>2</xdr:col>
                    <xdr:colOff>0</xdr:colOff>
                    <xdr:row>26</xdr:row>
                    <xdr:rowOff>0</xdr:rowOff>
                  </from>
                  <to>
                    <xdr:col>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15" name="Button 31">
              <controlPr defaultSize="0" autoFill="0" autoPict="0">
                <anchor moveWithCells="1" sizeWithCells="1">
                  <from>
                    <xdr:col>2</xdr:col>
                    <xdr:colOff>0</xdr:colOff>
                    <xdr:row>28</xdr:row>
                    <xdr:rowOff>0</xdr:rowOff>
                  </from>
                  <to>
                    <xdr:col>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16" name="Button 32">
              <controlPr defaultSize="0" autoFill="0" autoPict="0">
                <anchor moveWithCells="1" sizeWithCells="1">
                  <from>
                    <xdr:col>2</xdr:col>
                    <xdr:colOff>0</xdr:colOff>
                    <xdr:row>30</xdr:row>
                    <xdr:rowOff>0</xdr:rowOff>
                  </from>
                  <to>
                    <xdr:col>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6" r:id="rId17" name="Scroll Bar 38">
              <controlPr defaultSize="0" autoPict="0">
                <anchor moveWithCells="1">
                  <from>
                    <xdr:col>7</xdr:col>
                    <xdr:colOff>0</xdr:colOff>
                    <xdr:row>6</xdr:row>
                    <xdr:rowOff>7620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51C1EAF-BB93-4B0A-BC8A-787B986C55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5FBCD92A-FF7C-4EC9-8ADD-E495239E0A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F13:H13</xm:sqref>
        </x14:conditionalFormatting>
        <x14:conditionalFormatting xmlns:xm="http://schemas.microsoft.com/office/excel/2006/main">
          <x14:cfRule type="dataBar" id="{8228C67A-AAB4-43BB-8BD8-1FE8D0A828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F12:H26 I11</xm:sqref>
        </x14:conditionalFormatting>
        <x14:conditionalFormatting xmlns:xm="http://schemas.microsoft.com/office/excel/2006/main">
          <x14:cfRule type="dataBar" id="{633661DC-265A-4ABD-A1F7-1E68D26157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7553E142-4EBC-4E7B-8BF6-FA69E67E1A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69D5DBD6-5AC4-4D20-B0A4-27174FC6095A}">
            <x14:dataBar minLength="0" maxLength="100" border="1" negativeBarBorderColorSameAsPositive="0">
              <x14:cfvo type="percent">
                <xm:f>0</xm:f>
              </x14:cfvo>
              <x14:cfvo type="percent">
                <xm:f>100</xm:f>
              </x14:cfvo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3090C60-A360-43D8-ACE3-2BF08AA8121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I11:I25</xm:sqref>
        </x14:conditionalFormatting>
        <x14:conditionalFormatting xmlns:xm="http://schemas.microsoft.com/office/excel/2006/main">
          <x14:cfRule type="dataBar" id="{64412348-632C-4324-B9FD-53177D8390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1A2F5D80-B1A7-4E3A-9F8C-3ADFE60CDD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4669049B-C822-45B4-AFF5-C7BFFA62A4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E7AA5A64-E186-4625-A7EB-48F7BFB1A2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11295875-2606-4AE5-BA7C-6C3D7972A9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F46FBD6B-6B90-4550-A358-6122BBFC64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42EFDF09-B4A3-44C1-942F-AA4E919819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I21</xm:sqref>
        </x14:conditionalFormatting>
        <x14:conditionalFormatting xmlns:xm="http://schemas.microsoft.com/office/excel/2006/main">
          <x14:cfRule type="dataBar" id="{B8143B39-0834-4823-898E-9CBB08C6A6C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I21</xm:sqref>
        </x14:conditionalFormatting>
        <x14:conditionalFormatting xmlns:xm="http://schemas.microsoft.com/office/excel/2006/main">
          <x14:cfRule type="dataBar" id="{76563972-BB0D-4F1C-9CA1-53339D8302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86C1D4E0-9093-43D9-A998-BD30477549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710C3970-7AE5-418E-8FA9-0372FA1313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</xm:sqref>
        </x14:conditionalFormatting>
        <x14:conditionalFormatting xmlns:xm="http://schemas.microsoft.com/office/excel/2006/main">
          <x14:cfRule type="dataBar" id="{83167024-252A-4743-B79C-18BDD62F50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</xm:sqref>
        </x14:conditionalFormatting>
        <x14:conditionalFormatting xmlns:xm="http://schemas.microsoft.com/office/excel/2006/main">
          <x14:cfRule type="dataBar" id="{22861AC8-DBAC-4CD0-A316-8F78BE9DE0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F11</xm:sqref>
        </x14:conditionalFormatting>
        <x14:conditionalFormatting xmlns:xm="http://schemas.microsoft.com/office/excel/2006/main">
          <x14:cfRule type="dataBar" id="{231EEBBC-85FA-4958-99AD-CA4C6046C4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F11</xm:sqref>
        </x14:conditionalFormatting>
        <x14:conditionalFormatting xmlns:xm="http://schemas.microsoft.com/office/excel/2006/main">
          <x14:cfRule type="dataBar" id="{48FBB6AE-9DA1-46E0-AA5D-5900F6A3E24F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49E905AF-A426-4957-89FC-FB0AB155C5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F11:F25</xm:sqref>
        </x14:conditionalFormatting>
        <x14:conditionalFormatting xmlns:xm="http://schemas.microsoft.com/office/excel/2006/main">
          <x14:cfRule type="dataBar" id="{95224A19-1ECD-4069-9001-445D00D10ED3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AE7A2F4-5773-4BAC-AF1C-8D4AF67B68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I11:I26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3" tint="-0.249977111117893"/>
  </sheetPr>
  <dimension ref="A1:W62"/>
  <sheetViews>
    <sheetView showGridLines="0" zoomScale="90" zoomScaleNormal="90" zoomScaleSheetLayoutView="100" workbookViewId="0">
      <selection activeCell="D15" sqref="D15"/>
    </sheetView>
  </sheetViews>
  <sheetFormatPr baseColWidth="10" defaultColWidth="11.44140625" defaultRowHeight="12.75" customHeight="1"/>
  <cols>
    <col min="1" max="1" width="30.6640625" style="120" customWidth="1"/>
    <col min="2" max="2" width="10.6640625" style="120" customWidth="1"/>
    <col min="3" max="4" width="30.6640625" style="120" customWidth="1"/>
    <col min="5" max="5" width="15.6640625" style="120" customWidth="1"/>
    <col min="6" max="6" width="10.6640625" style="126" customWidth="1"/>
    <col min="7" max="8" width="2.6640625" style="120" customWidth="1"/>
    <col min="9" max="9" width="15.6640625" style="120" customWidth="1"/>
    <col min="10" max="10" width="25.6640625" style="120" customWidth="1"/>
    <col min="11" max="12" width="18.6640625" style="120" customWidth="1"/>
    <col min="13" max="17" width="15.6640625" style="120" customWidth="1"/>
    <col min="18" max="18" width="11.44140625" style="120"/>
    <col min="19" max="19" width="14.109375" style="120" hidden="1" customWidth="1"/>
    <col min="20" max="20" width="11.44140625" style="120" hidden="1" customWidth="1"/>
    <col min="21" max="16384" width="11.44140625" style="120"/>
  </cols>
  <sheetData>
    <row r="1" spans="1:23" ht="30" customHeight="1">
      <c r="A1" s="673" t="s">
        <v>272</v>
      </c>
      <c r="B1" s="674"/>
      <c r="C1" s="674"/>
      <c r="D1" s="674"/>
      <c r="E1" s="674"/>
      <c r="F1" s="675"/>
      <c r="I1" s="673" t="s">
        <v>253</v>
      </c>
      <c r="J1" s="674"/>
      <c r="K1" s="674"/>
      <c r="L1" s="674"/>
      <c r="M1" s="674"/>
      <c r="N1" s="674"/>
      <c r="O1" s="674"/>
      <c r="P1" s="675"/>
    </row>
    <row r="2" spans="1:23" ht="30" customHeight="1">
      <c r="A2" s="676" t="s">
        <v>76</v>
      </c>
      <c r="B2" s="677"/>
      <c r="C2" s="677"/>
      <c r="D2" s="677"/>
      <c r="E2" s="677"/>
      <c r="F2" s="678"/>
      <c r="I2" s="676" t="s">
        <v>76</v>
      </c>
      <c r="J2" s="677"/>
      <c r="K2" s="677"/>
      <c r="L2" s="677"/>
      <c r="M2" s="677"/>
      <c r="N2" s="677"/>
      <c r="O2" s="677"/>
      <c r="P2" s="678"/>
    </row>
    <row r="3" spans="1:23" ht="30" customHeight="1">
      <c r="A3" s="388" t="s">
        <v>149</v>
      </c>
      <c r="B3" s="679" t="s">
        <v>254</v>
      </c>
      <c r="C3" s="679"/>
      <c r="D3" s="679"/>
      <c r="E3" s="679"/>
      <c r="F3" s="680"/>
      <c r="I3" s="683" t="s">
        <v>164</v>
      </c>
      <c r="J3" s="683" t="s">
        <v>185</v>
      </c>
      <c r="K3" s="683" t="s">
        <v>186</v>
      </c>
      <c r="L3" s="683" t="s">
        <v>265</v>
      </c>
      <c r="M3" s="683" t="s">
        <v>187</v>
      </c>
      <c r="N3" s="683" t="s">
        <v>266</v>
      </c>
      <c r="O3" s="683" t="s">
        <v>162</v>
      </c>
      <c r="P3" s="683" t="s">
        <v>163</v>
      </c>
    </row>
    <row r="4" spans="1:23" s="121" customFormat="1" ht="30" customHeight="1">
      <c r="A4" s="389" t="s">
        <v>148</v>
      </c>
      <c r="B4" s="681" t="s">
        <v>77</v>
      </c>
      <c r="C4" s="681"/>
      <c r="D4" s="681"/>
      <c r="E4" s="681"/>
      <c r="F4" s="682"/>
      <c r="G4" s="120"/>
      <c r="H4" s="120"/>
      <c r="I4" s="684"/>
      <c r="J4" s="684"/>
      <c r="K4" s="684"/>
      <c r="L4" s="684"/>
      <c r="M4" s="684"/>
      <c r="N4" s="684"/>
      <c r="O4" s="684"/>
      <c r="P4" s="684"/>
      <c r="Q4" s="120"/>
      <c r="R4" s="120"/>
      <c r="S4" s="120"/>
      <c r="T4" s="120"/>
      <c r="U4" s="120"/>
      <c r="V4" s="120"/>
      <c r="W4" s="120"/>
    </row>
    <row r="5" spans="1:23" ht="20.100000000000001" customHeight="1">
      <c r="A5" s="608" t="s">
        <v>255</v>
      </c>
      <c r="B5" s="609" t="s">
        <v>140</v>
      </c>
      <c r="C5" s="610"/>
      <c r="D5" s="611" t="s">
        <v>11</v>
      </c>
      <c r="E5" s="697">
        <v>43759</v>
      </c>
      <c r="F5" s="698"/>
      <c r="I5" s="637" t="s">
        <v>122</v>
      </c>
      <c r="J5" s="638"/>
      <c r="K5" s="639"/>
      <c r="L5" s="639"/>
      <c r="M5" s="639">
        <f>ROUND(D10*D20/100,4)</f>
        <v>2328460.9</v>
      </c>
      <c r="N5" s="639"/>
      <c r="O5" s="640"/>
      <c r="P5" s="641">
        <f>IF(I5="","",ROUND(M5/$D$10,4))</f>
        <v>0.13769999999999999</v>
      </c>
      <c r="S5" s="120" t="str">
        <f>RIGHT(J5,6)</f>
        <v/>
      </c>
      <c r="U5" s="121"/>
      <c r="V5" s="121"/>
      <c r="W5" s="121"/>
    </row>
    <row r="6" spans="1:23" ht="20.100000000000001" customHeight="1">
      <c r="A6" s="612" t="s">
        <v>256</v>
      </c>
      <c r="B6" s="613" t="s">
        <v>141</v>
      </c>
      <c r="C6" s="614"/>
      <c r="D6" s="615" t="s">
        <v>259</v>
      </c>
      <c r="E6" s="699" t="str">
        <f ca="1">CONCATENATE((TODAY()-E5)," ","Dias Calendario")</f>
        <v>2430 Dias Calendario</v>
      </c>
      <c r="F6" s="700"/>
      <c r="H6" s="121"/>
      <c r="I6" s="642" t="str">
        <f>IF(RIGHT(T6,2)&lt;=RIGHT($D$15,2),T6,"")</f>
        <v>CAO N° 1</v>
      </c>
      <c r="J6" s="642" t="str">
        <f>IF(I6="","",IF(INDEX(PLANILLAS!$K$12:$AN$13,2,MATCH(I6,PLANILLAS!$K$12:$AN$12,0)+1)=0,"",INDEX(PLANILLAS!$K$12:$AN$13,2,MATCH(I6,PLANILLAS!$K$12:$AN$12,0)+1)))</f>
        <v>21-OCT-19 AL 31-ENE-20</v>
      </c>
      <c r="K6" s="643">
        <f>IF(I6="","",INDEX(PLANILLAS!$K$15:$AN$89,MATCH("IMPORTE PARCIAL",PLANILLAS!$K$15:$K$500,0),1+MATCH(I6,PLANILLAS!$K$12:$BI$12,0)))</f>
        <v>1748294.44</v>
      </c>
      <c r="L6" s="643">
        <f>IF(I6="","",ROUND($D$20*K6/100,2))</f>
        <v>240823.1</v>
      </c>
      <c r="M6" s="643">
        <f t="shared" ref="M6:M15" si="0">IF(I6="","",K6-L6)</f>
        <v>1507471.34</v>
      </c>
      <c r="N6" s="643">
        <f>IF(I6="","",$D$12-SUM($K$5:K6))</f>
        <v>15155546.1</v>
      </c>
      <c r="O6" s="644">
        <f>IF(I6="","",ROUND(K6/$D$12,4))</f>
        <v>0.10340000000000001</v>
      </c>
      <c r="P6" s="645">
        <f>IF(I6="","",ROUND(M6/$D$10,4))</f>
        <v>8.9200000000000002E-2</v>
      </c>
      <c r="S6" s="120" t="str">
        <f t="shared" ref="S6:S15" si="1">IF(RIGHT(J6,6)="",NA(),RIGHT(J6,6))</f>
        <v>ENE-20</v>
      </c>
      <c r="T6" s="120" t="s">
        <v>243</v>
      </c>
    </row>
    <row r="7" spans="1:23" ht="20.100000000000001" customHeight="1">
      <c r="A7" s="612" t="s">
        <v>257</v>
      </c>
      <c r="B7" s="613" t="s">
        <v>146</v>
      </c>
      <c r="C7" s="614"/>
      <c r="D7" s="615" t="s">
        <v>260</v>
      </c>
      <c r="E7" s="701" t="s">
        <v>87</v>
      </c>
      <c r="F7" s="702"/>
      <c r="I7" s="642" t="str">
        <f t="shared" ref="I7:I15" si="2">IF(RIGHT(T7,2)&lt;=RIGHT($D$15,2),T7,"")</f>
        <v>CAO N° 2</v>
      </c>
      <c r="J7" s="642" t="str">
        <f>IF(I7="","",IF(INDEX(PLANILLAS!$K$12:$AN$13,2,MATCH(I7,PLANILLAS!$K$12:$AN$12,0)+1)=0,"",INDEX(PLANILLAS!$K$12:$AN$13,2,MATCH(I7,PLANILLAS!$K$12:$AN$12,0)+1)))</f>
        <v>01-FEB-20 AL 20-MAR-20</v>
      </c>
      <c r="K7" s="643">
        <f>IF(I7="","",INDEX(PLANILLAS!$K$15:$AN$89,MATCH("IMPORTE PARCIAL",PLANILLAS!$K$15:$K$500,0),1+MATCH(I7,PLANILLAS!$K$12:$BI$12,0)))</f>
        <v>423382.18</v>
      </c>
      <c r="L7" s="643">
        <f t="shared" ref="L7:L15" si="3">IF(I7="","",ROUND($D$20*K7/100,2))</f>
        <v>58319.81</v>
      </c>
      <c r="M7" s="643">
        <f t="shared" si="0"/>
        <v>365062.37</v>
      </c>
      <c r="N7" s="643">
        <f>IF(I7="","",$D$12-SUM($K$5:K7))</f>
        <v>14732163.92</v>
      </c>
      <c r="O7" s="644">
        <f t="shared" ref="O7:O15" si="4">IF(I7="","",ROUND(K7/$D$12,4))</f>
        <v>2.5000000000000001E-2</v>
      </c>
      <c r="P7" s="645">
        <f t="shared" ref="P7:P15" si="5">IF(I7="","",ROUND(M7/$D$10,4))</f>
        <v>2.1600000000000001E-2</v>
      </c>
      <c r="S7" s="120" t="str">
        <f t="shared" si="1"/>
        <v>MAR-20</v>
      </c>
      <c r="T7" s="120" t="s">
        <v>244</v>
      </c>
    </row>
    <row r="8" spans="1:23" ht="20.100000000000001" customHeight="1">
      <c r="A8" s="616" t="s">
        <v>258</v>
      </c>
      <c r="B8" s="617" t="s">
        <v>94</v>
      </c>
      <c r="C8" s="618"/>
      <c r="D8" s="619" t="s">
        <v>261</v>
      </c>
      <c r="E8" s="703">
        <v>44570</v>
      </c>
      <c r="F8" s="704"/>
      <c r="I8" s="642" t="str">
        <f t="shared" si="2"/>
        <v>CAO N° 3</v>
      </c>
      <c r="J8" s="642" t="str">
        <f>IF(I8="","",IF(INDEX(PLANILLAS!$K$12:$AN$13,2,MATCH(I8,PLANILLAS!$K$12:$AN$12,0)+1)=0,"",INDEX(PLANILLAS!$K$12:$AN$13,2,MATCH(I8,PLANILLAS!$K$12:$AN$12,0)+1)))</f>
        <v>21-MAR-20 AL 30-NOV-20</v>
      </c>
      <c r="K8" s="643">
        <f>IF(I8="","",INDEX(PLANILLAS!$K$15:$AN$89,MATCH("IMPORTE PARCIAL",PLANILLAS!$K$15:$K$500,0),1+MATCH(I8,PLANILLAS!$K$12:$BI$12,0)))</f>
        <v>1404557.81</v>
      </c>
      <c r="L8" s="643">
        <f t="shared" si="3"/>
        <v>193474.25</v>
      </c>
      <c r="M8" s="643">
        <f t="shared" si="0"/>
        <v>1211083.56</v>
      </c>
      <c r="N8" s="643">
        <f>IF(I8="","",$D$12-SUM($K$5:K8))</f>
        <v>13327606.109999999</v>
      </c>
      <c r="O8" s="644">
        <f t="shared" si="4"/>
        <v>8.3099999999999993E-2</v>
      </c>
      <c r="P8" s="645">
        <f t="shared" si="5"/>
        <v>7.1599999999999997E-2</v>
      </c>
      <c r="S8" s="120" t="str">
        <f t="shared" si="1"/>
        <v>NOV-20</v>
      </c>
      <c r="T8" s="120" t="s">
        <v>245</v>
      </c>
    </row>
    <row r="9" spans="1:23" ht="20.100000000000001" customHeight="1">
      <c r="A9" s="688" t="s">
        <v>0</v>
      </c>
      <c r="B9" s="689"/>
      <c r="C9" s="689"/>
      <c r="D9" s="686" t="s">
        <v>147</v>
      </c>
      <c r="E9" s="686"/>
      <c r="F9" s="687"/>
      <c r="I9" s="642" t="str">
        <f t="shared" si="2"/>
        <v>CAO N° 4</v>
      </c>
      <c r="J9" s="642" t="str">
        <f>IF(I9="","",IF(INDEX(PLANILLAS!$K$12:$AN$13,2,MATCH(I9,PLANILLAS!$K$12:$AN$12,0)+1)=0,"",INDEX(PLANILLAS!$K$12:$AN$13,2,MATCH(I9,PLANILLAS!$K$12:$AN$12,0)+1)))</f>
        <v>01-DIC-20 AL 31-MAR-21</v>
      </c>
      <c r="K9" s="643">
        <f>IF(I9="","",INDEX(PLANILLAS!$K$15:$AN$89,MATCH("IMPORTE PARCIAL",PLANILLAS!$K$15:$K$500,0),1+MATCH(I9,PLANILLAS!$K$12:$BI$12,0)))</f>
        <v>1254299.1200000001</v>
      </c>
      <c r="L9" s="643">
        <f t="shared" si="3"/>
        <v>172776.5</v>
      </c>
      <c r="M9" s="643">
        <f t="shared" si="0"/>
        <v>1081522.6200000001</v>
      </c>
      <c r="N9" s="643">
        <f>IF(I9="","",$D$12-SUM($K$5:K9))</f>
        <v>12073306.99</v>
      </c>
      <c r="O9" s="644">
        <f t="shared" si="4"/>
        <v>7.4200000000000002E-2</v>
      </c>
      <c r="P9" s="645">
        <f t="shared" si="5"/>
        <v>6.4000000000000001E-2</v>
      </c>
      <c r="S9" s="120" t="str">
        <f t="shared" si="1"/>
        <v>MAR-21</v>
      </c>
      <c r="T9" s="120" t="s">
        <v>246</v>
      </c>
    </row>
    <row r="10" spans="1:23" ht="20.100000000000001" customHeight="1">
      <c r="A10" s="620"/>
      <c r="B10" s="621"/>
      <c r="C10" s="622" t="s">
        <v>142</v>
      </c>
      <c r="D10" s="623">
        <f>INDEX(PLANILLAS!$F$15:$F$500,MATCH("TOTALES (Bs.)",PLANILLAS!$A$15:$A$500,0),1)</f>
        <v>16903840.539999999</v>
      </c>
      <c r="E10" s="624"/>
      <c r="F10" s="625"/>
      <c r="G10" s="121"/>
      <c r="I10" s="642" t="str">
        <f t="shared" si="2"/>
        <v>CAO N° 5</v>
      </c>
      <c r="J10" s="642" t="str">
        <f>IF(I10="","",IF(INDEX(PLANILLAS!$K$12:$AN$13,2,MATCH(I10,PLANILLAS!$K$12:$AN$12,0)+1)=0,"",INDEX(PLANILLAS!$K$12:$AN$13,2,MATCH(I10,PLANILLAS!$K$12:$AN$12,0)+1)))</f>
        <v>01-ABR-21 AL 11-JUN-21</v>
      </c>
      <c r="K10" s="643">
        <f>IF(I10="","",INDEX(PLANILLAS!$K$15:$AN$89,MATCH("IMPORTE PARCIAL",PLANILLAS!$K$15:$K$500,0),1+MATCH(I10,PLANILLAS!$K$12:$BI$12,0)))</f>
        <v>1436153.95</v>
      </c>
      <c r="L10" s="643">
        <f t="shared" si="3"/>
        <v>197826.54</v>
      </c>
      <c r="M10" s="643">
        <f t="shared" si="0"/>
        <v>1238327.4099999999</v>
      </c>
      <c r="N10" s="643">
        <f>IF(I10="","",$D$12-SUM($K$5:K10))</f>
        <v>10637153.039999999</v>
      </c>
      <c r="O10" s="644">
        <f t="shared" si="4"/>
        <v>8.5000000000000006E-2</v>
      </c>
      <c r="P10" s="645">
        <f t="shared" si="5"/>
        <v>7.3300000000000004E-2</v>
      </c>
      <c r="S10" s="120" t="str">
        <f t="shared" si="1"/>
        <v>JUN-21</v>
      </c>
      <c r="T10" s="120" t="s">
        <v>247</v>
      </c>
    </row>
    <row r="11" spans="1:23" ht="20.100000000000001" customHeight="1">
      <c r="A11" s="626"/>
      <c r="B11" s="627"/>
      <c r="C11" s="628" t="s">
        <v>143</v>
      </c>
      <c r="D11" s="629">
        <f>ROUND(D10*0.137747448,4)</f>
        <v>2328460.9</v>
      </c>
      <c r="E11" s="630"/>
      <c r="F11" s="631"/>
      <c r="I11" s="642" t="str">
        <f t="shared" si="2"/>
        <v>CAO N° 6</v>
      </c>
      <c r="J11" s="642" t="str">
        <f>IF(I11="","",IF(INDEX(PLANILLAS!$K$12:$AN$13,2,MATCH(I11,PLANILLAS!$K$12:$AN$12,0)+1)=0,"",INDEX(PLANILLAS!$K$12:$AN$13,2,MATCH(I11,PLANILLAS!$K$12:$AN$12,0)+1)))</f>
        <v>12-JUN-21 AL 07-AGO-21</v>
      </c>
      <c r="K11" s="643">
        <f>IF(I11="","",INDEX(PLANILLAS!$K$15:$AN$89,MATCH("IMPORTE PARCIAL",PLANILLAS!$K$15:$K$500,0),1+MATCH(I11,PLANILLAS!$K$12:$BI$12,0)))</f>
        <v>3205525.45</v>
      </c>
      <c r="L11" s="643">
        <f t="shared" si="3"/>
        <v>441552.95</v>
      </c>
      <c r="M11" s="643">
        <f t="shared" si="0"/>
        <v>2763972.5</v>
      </c>
      <c r="N11" s="643">
        <f>IF(I11="","",$D$12-SUM($K$5:K11))</f>
        <v>7431627.5899999999</v>
      </c>
      <c r="O11" s="644">
        <f t="shared" si="4"/>
        <v>0.18959999999999999</v>
      </c>
      <c r="P11" s="645">
        <f t="shared" si="5"/>
        <v>0.16350000000000001</v>
      </c>
      <c r="S11" s="120" t="str">
        <f t="shared" si="1"/>
        <v>AGO-21</v>
      </c>
      <c r="T11" s="120" t="s">
        <v>248</v>
      </c>
    </row>
    <row r="12" spans="1:23" ht="20.100000000000001" customHeight="1">
      <c r="A12" s="626"/>
      <c r="B12" s="627"/>
      <c r="C12" s="628" t="s">
        <v>144</v>
      </c>
      <c r="D12" s="629">
        <f>INDEX(PLANILLAS!$I$15:$I$500,MATCH("TOTALES (Bs.)",PLANILLAS!$A$15:$A$500,0),1)</f>
        <v>16903840.539999999</v>
      </c>
      <c r="E12" s="630"/>
      <c r="F12" s="631"/>
      <c r="G12" s="122"/>
      <c r="I12" s="642" t="str">
        <f t="shared" si="2"/>
        <v>CAO N° 7</v>
      </c>
      <c r="J12" s="642" t="str">
        <f>IF(I12="","",IF(INDEX(PLANILLAS!$K$12:$AN$13,2,MATCH(I12,PLANILLAS!$K$12:$AN$12,0)+1)=0,"",INDEX(PLANILLAS!$K$12:$AN$13,2,MATCH(I12,PLANILLAS!$K$12:$AN$12,0)+1)))</f>
        <v>8-AGO-21 AL 30-SEP-21</v>
      </c>
      <c r="K12" s="643">
        <f>IF(I12="","",INDEX(PLANILLAS!$K$15:$AN$89,MATCH("IMPORTE PARCIAL",PLANILLAS!$K$15:$K$500,0),1+MATCH(I12,PLANILLAS!$K$12:$BI$12,0)))</f>
        <v>1502233.73</v>
      </c>
      <c r="L12" s="643">
        <f t="shared" si="3"/>
        <v>206928.86</v>
      </c>
      <c r="M12" s="643">
        <f t="shared" si="0"/>
        <v>1295304.8700000001</v>
      </c>
      <c r="N12" s="643">
        <f>IF(I12="","",$D$12-SUM($K$5:K12))</f>
        <v>5929393.8600000003</v>
      </c>
      <c r="O12" s="644">
        <f t="shared" si="4"/>
        <v>8.8900000000000007E-2</v>
      </c>
      <c r="P12" s="645">
        <f t="shared" si="5"/>
        <v>7.6600000000000001E-2</v>
      </c>
      <c r="S12" s="120" t="str">
        <f t="shared" si="1"/>
        <v>SEP-21</v>
      </c>
      <c r="T12" s="120" t="s">
        <v>249</v>
      </c>
    </row>
    <row r="13" spans="1:23" ht="20.100000000000001" customHeight="1">
      <c r="A13" s="626"/>
      <c r="B13" s="627"/>
      <c r="C13" s="628" t="s">
        <v>145</v>
      </c>
      <c r="D13" s="629">
        <v>0</v>
      </c>
      <c r="E13" s="630"/>
      <c r="F13" s="631"/>
      <c r="I13" s="642" t="str">
        <f t="shared" si="2"/>
        <v/>
      </c>
      <c r="J13" s="642" t="str">
        <f>IF(I13="","",IF(INDEX(PLANILLAS!$K$12:$AN$13,2,MATCH(I13,PLANILLAS!$K$12:$AN$12,0)+1)=0,"",INDEX(PLANILLAS!$K$12:$AN$13,2,MATCH(I13,PLANILLAS!$K$12:$AN$12,0)+1)))</f>
        <v/>
      </c>
      <c r="K13" s="643" t="str">
        <f>IF(I13="","",INDEX(PLANILLAS!$K$15:$AN$89,MATCH("IMPORTE PARCIAL",PLANILLAS!$K$15:$K$500,0),1+MATCH(I13,PLANILLAS!$K$12:$BI$12,0)))</f>
        <v/>
      </c>
      <c r="L13" s="643" t="str">
        <f t="shared" si="3"/>
        <v/>
      </c>
      <c r="M13" s="643" t="str">
        <f t="shared" si="0"/>
        <v/>
      </c>
      <c r="N13" s="643" t="str">
        <f>IF(I13="","",$D$12-SUM($K$5:K13))</f>
        <v/>
      </c>
      <c r="O13" s="644" t="str">
        <f t="shared" si="4"/>
        <v/>
      </c>
      <c r="P13" s="645" t="str">
        <f t="shared" si="5"/>
        <v/>
      </c>
      <c r="S13" s="120" t="e">
        <f t="shared" si="1"/>
        <v>#N/A</v>
      </c>
      <c r="T13" s="120" t="s">
        <v>250</v>
      </c>
    </row>
    <row r="14" spans="1:23" ht="20.100000000000001" customHeight="1">
      <c r="A14" s="626"/>
      <c r="B14" s="627"/>
      <c r="C14" s="628"/>
      <c r="D14" s="629"/>
      <c r="E14" s="630"/>
      <c r="F14" s="631"/>
      <c r="I14" s="642" t="str">
        <f t="shared" si="2"/>
        <v/>
      </c>
      <c r="J14" s="642" t="str">
        <f>IF(I14="","",IF(INDEX(PLANILLAS!$K$12:$AN$13,2,MATCH(I14,PLANILLAS!$K$12:$AN$12,0)+1)=0,"",INDEX(PLANILLAS!$K$12:$AN$13,2,MATCH(I14,PLANILLAS!$K$12:$AN$12,0)+1)))</f>
        <v/>
      </c>
      <c r="K14" s="643" t="str">
        <f>IF(I14="","",INDEX(PLANILLAS!$K$15:$AN$89,MATCH("IMPORTE PARCIAL",PLANILLAS!$K$15:$K$500,0),1+MATCH(I14,PLANILLAS!$K$12:$BI$12,0)))</f>
        <v/>
      </c>
      <c r="L14" s="643" t="str">
        <f t="shared" si="3"/>
        <v/>
      </c>
      <c r="M14" s="643" t="str">
        <f t="shared" si="0"/>
        <v/>
      </c>
      <c r="N14" s="643" t="str">
        <f>IF(I14="","",$D$12-SUM($K$5:K14))</f>
        <v/>
      </c>
      <c r="O14" s="644" t="str">
        <f t="shared" si="4"/>
        <v/>
      </c>
      <c r="P14" s="645" t="str">
        <f t="shared" si="5"/>
        <v/>
      </c>
      <c r="S14" s="120" t="e">
        <f t="shared" si="1"/>
        <v>#N/A</v>
      </c>
      <c r="T14" s="120" t="s">
        <v>251</v>
      </c>
    </row>
    <row r="15" spans="1:23" ht="20.100000000000001" customHeight="1">
      <c r="A15" s="401"/>
      <c r="B15" s="402"/>
      <c r="C15" s="403" t="s">
        <v>182</v>
      </c>
      <c r="D15" s="402" t="s">
        <v>249</v>
      </c>
      <c r="E15" s="404"/>
      <c r="F15" s="405"/>
      <c r="I15" s="646" t="str">
        <f t="shared" si="2"/>
        <v/>
      </c>
      <c r="J15" s="642" t="str">
        <f>IF(I15="","",IF(INDEX(PLANILLAS!$K$12:$AN$13,2,MATCH(I15,PLANILLAS!$K$12:$AN$12,0)+1)=0,"",INDEX(PLANILLAS!$K$12:$AN$13,2,MATCH(I15,PLANILLAS!$K$12:$AN$12,0)+1)))</f>
        <v/>
      </c>
      <c r="K15" s="643" t="str">
        <f>IF(I15="","",INDEX(PLANILLAS!$K$15:$AN$89,MATCH("IMPORTE PARCIAL",PLANILLAS!$K$15:$K$500,0),1+MATCH(I15,PLANILLAS!$K$12:$BI$12,0)))</f>
        <v/>
      </c>
      <c r="L15" s="643" t="str">
        <f t="shared" si="3"/>
        <v/>
      </c>
      <c r="M15" s="643" t="str">
        <f t="shared" si="0"/>
        <v/>
      </c>
      <c r="N15" s="643" t="str">
        <f>IF(I15="","",$D$12-SUM($K$5:K15))</f>
        <v/>
      </c>
      <c r="O15" s="644" t="str">
        <f t="shared" si="4"/>
        <v/>
      </c>
      <c r="P15" s="645" t="str">
        <f t="shared" si="5"/>
        <v/>
      </c>
      <c r="S15" s="120" t="e">
        <f t="shared" si="1"/>
        <v>#N/A</v>
      </c>
      <c r="T15" s="120" t="s">
        <v>252</v>
      </c>
    </row>
    <row r="16" spans="1:23" ht="20.100000000000001" customHeight="1">
      <c r="A16" s="632"/>
      <c r="B16" s="633"/>
      <c r="C16" s="634" t="s">
        <v>175</v>
      </c>
      <c r="D16" s="629">
        <f>IFERROR(INDEX(PLANILLAS!$K$15:$AN$500,MATCH("IMPORTE ACUMULADO",PLANILLAS!$K$15:$K$500,0),MATCH($D$15,PLANILLAS!$K$12:$BI$12,0)-2),0)</f>
        <v>9472212.9499999993</v>
      </c>
      <c r="E16" s="504" t="str">
        <f>IF(VLOOKUP(D15,$I$44:$O$54,5,0)&lt;&gt;D16,VLOOKUP(D15,$I$44:$O$54,5,0)-D16,"")</f>
        <v/>
      </c>
      <c r="F16" s="505"/>
      <c r="G16" s="123"/>
      <c r="H16" s="124"/>
      <c r="I16" s="391" t="s">
        <v>165</v>
      </c>
      <c r="J16" s="392"/>
      <c r="K16" s="393">
        <f>SUM(K5:K15)</f>
        <v>10974446.68</v>
      </c>
      <c r="L16" s="393">
        <f>SUM(L5:L15)</f>
        <v>1511702.01</v>
      </c>
      <c r="M16" s="393">
        <f>SUM(M5:M15)</f>
        <v>11791205.57</v>
      </c>
      <c r="N16" s="393">
        <f>D12-M16</f>
        <v>5112634.97</v>
      </c>
      <c r="O16" s="432">
        <f>SUM(O5:O15)</f>
        <v>0.6492</v>
      </c>
      <c r="P16" s="433">
        <f>SUM(P5:P15)</f>
        <v>0.69750000000000001</v>
      </c>
    </row>
    <row r="17" spans="1:20" ht="20.100000000000001" customHeight="1">
      <c r="A17" s="635"/>
      <c r="B17" s="634"/>
      <c r="C17" s="634" t="s">
        <v>176</v>
      </c>
      <c r="D17" s="629">
        <f>INDEX(PLANILLAS!$K$15:$AN$500,MATCH("IMPORTE PARCIAL",PLANILLAS!$K$15:$K$500,0),1+MATCH(D15,PLANILLAS!$K$12:$BI$12,0))</f>
        <v>1502233.73</v>
      </c>
      <c r="E17" s="506" t="str">
        <f>IF(VLOOKUP(D15,$I$44:$O$54,2,0)&lt;&gt;D17,VLOOKUP(D15,$I$44:$O$54,2,0)-D17,"")</f>
        <v/>
      </c>
      <c r="F17" s="505"/>
      <c r="H17" s="125"/>
    </row>
    <row r="18" spans="1:20" ht="20.100000000000001" customHeight="1">
      <c r="A18" s="635"/>
      <c r="B18" s="634"/>
      <c r="C18" s="634" t="s">
        <v>177</v>
      </c>
      <c r="D18" s="629">
        <f>D17+D16</f>
        <v>10974446.68</v>
      </c>
      <c r="E18" s="506" t="str">
        <f>IF(VLOOKUP(D15,$I$44:$O$54,6,0)&lt;&gt;D18,VLOOKUP(D15,$I$44:$O$54,6,0)-D18,"")</f>
        <v/>
      </c>
      <c r="F18" s="505"/>
    </row>
    <row r="19" spans="1:20" ht="20.100000000000001" customHeight="1">
      <c r="A19" s="635"/>
      <c r="B19" s="634"/>
      <c r="C19" s="634" t="s">
        <v>170</v>
      </c>
      <c r="D19" s="629">
        <f>_xlfn.IFNA(INDEX($S$44:$S$54,MATCH($D$15,$I$44:$I$54,0)-1,1),0)</f>
        <v>1304773.1499999999</v>
      </c>
      <c r="E19" s="506"/>
      <c r="F19" s="505"/>
      <c r="T19" s="428"/>
    </row>
    <row r="20" spans="1:20" ht="20.100000000000001" customHeight="1">
      <c r="A20" s="635"/>
      <c r="B20" s="634"/>
      <c r="C20" s="634" t="s">
        <v>234</v>
      </c>
      <c r="D20" s="636">
        <v>13.774744800000001</v>
      </c>
      <c r="E20" s="506"/>
      <c r="F20" s="505"/>
    </row>
    <row r="21" spans="1:20" ht="20.100000000000001" customHeight="1">
      <c r="A21" s="635"/>
      <c r="B21" s="634"/>
      <c r="C21" s="634" t="s">
        <v>235</v>
      </c>
      <c r="D21" s="629">
        <f>ROUND(D17*D20/100,2)</f>
        <v>206928.86</v>
      </c>
      <c r="E21" s="506" t="str">
        <f>IF(VLOOKUP(D15,$I$44:$O$54,3,0)&lt;&gt;D21,VLOOKUP(D15,$I$44:$O$54,3,0)-D21,"")</f>
        <v/>
      </c>
      <c r="F21" s="505"/>
    </row>
    <row r="22" spans="1:20" ht="20.100000000000001" customHeight="1">
      <c r="A22" s="635"/>
      <c r="B22" s="634"/>
      <c r="C22" s="634" t="s">
        <v>166</v>
      </c>
      <c r="D22" s="629">
        <f>D21+D19</f>
        <v>1511702.01</v>
      </c>
      <c r="E22" s="506"/>
      <c r="F22" s="505"/>
    </row>
    <row r="23" spans="1:20" ht="20.100000000000001" customHeight="1">
      <c r="A23" s="635"/>
      <c r="B23" s="634"/>
      <c r="C23" s="634" t="s">
        <v>171</v>
      </c>
      <c r="D23" s="629">
        <v>0</v>
      </c>
      <c r="E23" s="506"/>
      <c r="F23" s="505"/>
    </row>
    <row r="24" spans="1:20" ht="20.100000000000001" customHeight="1">
      <c r="A24" s="635"/>
      <c r="B24" s="634"/>
      <c r="C24" s="634" t="s">
        <v>172</v>
      </c>
      <c r="D24" s="629">
        <v>0</v>
      </c>
      <c r="E24" s="506"/>
      <c r="F24" s="505"/>
    </row>
    <row r="25" spans="1:20" ht="20.100000000000001" customHeight="1">
      <c r="A25" s="635"/>
      <c r="B25" s="634"/>
      <c r="C25" s="634" t="s">
        <v>173</v>
      </c>
      <c r="D25" s="629">
        <f>D24+D23</f>
        <v>0</v>
      </c>
      <c r="E25" s="506"/>
      <c r="F25" s="505"/>
    </row>
    <row r="26" spans="1:20" ht="20.100000000000001" customHeight="1">
      <c r="A26" s="635"/>
      <c r="B26" s="634"/>
      <c r="C26" s="634" t="s">
        <v>174</v>
      </c>
      <c r="D26" s="629">
        <f>D25+D22</f>
        <v>1511702.01</v>
      </c>
      <c r="E26" s="506"/>
      <c r="F26" s="505"/>
    </row>
    <row r="27" spans="1:20" ht="20.100000000000001" customHeight="1">
      <c r="A27" s="635"/>
      <c r="B27" s="634"/>
      <c r="C27" s="634" t="s">
        <v>178</v>
      </c>
      <c r="D27" s="629">
        <f>D16-D19</f>
        <v>8167439.7999999998</v>
      </c>
      <c r="E27" s="506"/>
      <c r="F27" s="505"/>
    </row>
    <row r="28" spans="1:20" ht="20.100000000000001" customHeight="1">
      <c r="A28" s="635"/>
      <c r="B28" s="634"/>
      <c r="C28" s="634" t="s">
        <v>179</v>
      </c>
      <c r="D28" s="629">
        <f>D27+D17-D21</f>
        <v>9462744.6699999999</v>
      </c>
      <c r="E28" s="506"/>
      <c r="F28" s="505"/>
    </row>
    <row r="29" spans="1:20" ht="20.100000000000001" customHeight="1">
      <c r="A29" s="635"/>
      <c r="B29" s="634"/>
      <c r="C29" s="634" t="s">
        <v>203</v>
      </c>
      <c r="D29" s="629">
        <f>D17-D21</f>
        <v>1295304.8700000001</v>
      </c>
      <c r="E29" s="506" t="str">
        <f>IF(VLOOKUP(D15,$I$44:$O$54,4,0)&lt;&gt;D29,VLOOKUP(D15,$I$44:$O$54,4,0)-D29,"")</f>
        <v/>
      </c>
      <c r="F29" s="505"/>
    </row>
    <row r="30" spans="1:20" ht="20.100000000000001" customHeight="1">
      <c r="A30" s="632"/>
      <c r="B30" s="633"/>
      <c r="C30" s="634" t="s">
        <v>180</v>
      </c>
      <c r="D30" s="629">
        <f>D28+D11</f>
        <v>11791205.57</v>
      </c>
      <c r="E30" s="506"/>
      <c r="F30" s="505"/>
    </row>
    <row r="31" spans="1:20" ht="20.100000000000001" customHeight="1">
      <c r="A31" s="632"/>
      <c r="B31" s="633"/>
      <c r="C31" s="634" t="s">
        <v>181</v>
      </c>
      <c r="D31" s="629">
        <f>D16+D17</f>
        <v>10974446.68</v>
      </c>
      <c r="E31" s="506"/>
      <c r="F31" s="505"/>
    </row>
    <row r="32" spans="1:20" ht="20.100000000000001" customHeight="1">
      <c r="A32" s="635"/>
      <c r="B32" s="634"/>
      <c r="C32" s="634" t="s">
        <v>167</v>
      </c>
      <c r="D32" s="629">
        <f>D11-D26</f>
        <v>816758.89</v>
      </c>
      <c r="E32" s="506"/>
      <c r="F32" s="505"/>
    </row>
    <row r="33" spans="1:19" ht="20.100000000000001" customHeight="1">
      <c r="A33" s="632"/>
      <c r="B33" s="633"/>
      <c r="C33" s="634" t="s">
        <v>168</v>
      </c>
      <c r="D33" s="629">
        <f>D10-D18</f>
        <v>5929393.8600000003</v>
      </c>
      <c r="E33" s="506" t="str">
        <f>IF(VLOOKUP(D15,$I$44:$O$54,7,0)&lt;&gt;D33,VLOOKUP(D15,$I$44:$O$54,7,0)-D33,"")</f>
        <v/>
      </c>
      <c r="F33" s="505"/>
    </row>
    <row r="34" spans="1:19" ht="20.100000000000001" customHeight="1">
      <c r="A34" s="690" t="s">
        <v>241</v>
      </c>
      <c r="B34" s="691"/>
      <c r="C34" s="394">
        <f>ROUND(D31/D12,4)</f>
        <v>0.6492</v>
      </c>
      <c r="D34" s="434" t="s">
        <v>95</v>
      </c>
      <c r="E34" s="694">
        <f>1-C34</f>
        <v>0.3508</v>
      </c>
      <c r="F34" s="694"/>
    </row>
    <row r="35" spans="1:19" ht="20.100000000000001" customHeight="1">
      <c r="A35" s="692" t="s">
        <v>242</v>
      </c>
      <c r="B35" s="693"/>
      <c r="C35" s="395">
        <f>ROUND(D30/D12,4)</f>
        <v>0.69750000000000001</v>
      </c>
      <c r="D35" s="435" t="s">
        <v>96</v>
      </c>
      <c r="E35" s="695">
        <f>1-C35</f>
        <v>0.30249999999999999</v>
      </c>
      <c r="F35" s="696"/>
    </row>
    <row r="36" spans="1:19" ht="18" customHeight="1"/>
    <row r="37" spans="1:19" ht="18" customHeight="1">
      <c r="D37" s="172"/>
    </row>
    <row r="38" spans="1:19" ht="24.9" customHeight="1">
      <c r="D38" s="387"/>
      <c r="I38" s="705" t="s">
        <v>204</v>
      </c>
      <c r="J38" s="705"/>
      <c r="K38" s="705"/>
      <c r="L38" s="705"/>
      <c r="M38" s="705"/>
      <c r="N38" s="705"/>
      <c r="O38" s="705"/>
      <c r="P38" s="705"/>
      <c r="Q38" s="705"/>
    </row>
    <row r="39" spans="1:19" ht="5.0999999999999996" customHeight="1">
      <c r="I39" s="482"/>
      <c r="J39" s="482"/>
      <c r="K39" s="482"/>
      <c r="L39" s="482"/>
      <c r="M39" s="482"/>
      <c r="N39" s="482"/>
      <c r="O39" s="482"/>
      <c r="P39" s="482"/>
      <c r="Q39" s="483"/>
    </row>
    <row r="40" spans="1:19" ht="24.9" customHeight="1">
      <c r="I40" s="600" t="s">
        <v>159</v>
      </c>
      <c r="J40" s="600"/>
      <c r="K40" s="602">
        <v>16903840.539999999</v>
      </c>
      <c r="L40" s="600" t="str" cm="1">
        <f t="array" ref="L40">UPPER(CONVERTIRNUM(K40))&amp;" BOLIVIANOS"</f>
        <v>DIECISÉIS MILLONES NOVECIENTOS TRES MIL OCHOCIENTOS CUARENTA  54/100 BOLIVIANOS</v>
      </c>
      <c r="M40" s="600"/>
      <c r="N40" s="600"/>
      <c r="O40" s="600"/>
      <c r="P40" s="600"/>
      <c r="Q40" s="601"/>
    </row>
    <row r="41" spans="1:19" ht="5.0999999999999996" customHeight="1">
      <c r="I41" s="485"/>
      <c r="J41" s="485"/>
      <c r="K41" s="484"/>
      <c r="L41" s="485"/>
      <c r="M41" s="485"/>
      <c r="N41" s="485"/>
      <c r="O41" s="485"/>
      <c r="P41" s="485"/>
      <c r="Q41" s="483"/>
    </row>
    <row r="42" spans="1:19" ht="49.5" customHeight="1">
      <c r="I42" s="486"/>
      <c r="J42" s="486" t="s">
        <v>154</v>
      </c>
      <c r="K42" s="487" t="s">
        <v>155</v>
      </c>
      <c r="L42" s="487" t="s">
        <v>156</v>
      </c>
      <c r="M42" s="487" t="s">
        <v>264</v>
      </c>
      <c r="N42" s="487" t="s">
        <v>262</v>
      </c>
      <c r="O42" s="487" t="s">
        <v>263</v>
      </c>
      <c r="P42" s="487" t="s">
        <v>267</v>
      </c>
      <c r="Q42" s="487" t="s">
        <v>268</v>
      </c>
    </row>
    <row r="43" spans="1:19" ht="20.100000000000001" customHeight="1">
      <c r="C43" s="172"/>
      <c r="I43" s="488" t="s">
        <v>157</v>
      </c>
      <c r="J43" s="489" t="s">
        <v>269</v>
      </c>
      <c r="K43" s="490"/>
      <c r="L43" s="491">
        <v>2328460.9</v>
      </c>
      <c r="M43" s="492"/>
      <c r="N43" s="492"/>
      <c r="O43" s="492"/>
      <c r="P43" s="493"/>
      <c r="Q43" s="493">
        <v>0.13769999999999999</v>
      </c>
    </row>
    <row r="44" spans="1:19" ht="20.100000000000001" customHeight="1">
      <c r="I44" s="494"/>
      <c r="J44" s="495"/>
      <c r="K44" s="496"/>
      <c r="L44" s="496"/>
      <c r="M44" s="497"/>
      <c r="N44" s="497"/>
      <c r="O44" s="497"/>
      <c r="P44" s="498"/>
      <c r="Q44" s="498"/>
    </row>
    <row r="45" spans="1:19" ht="20.100000000000001" customHeight="1">
      <c r="I45" s="494" t="s">
        <v>243</v>
      </c>
      <c r="J45" s="491">
        <v>1748294.44</v>
      </c>
      <c r="K45" s="491">
        <v>240823.1</v>
      </c>
      <c r="L45" s="491">
        <v>1507471.34</v>
      </c>
      <c r="M45" s="492">
        <v>0</v>
      </c>
      <c r="N45" s="492">
        <v>1748294.44</v>
      </c>
      <c r="O45" s="492">
        <f>$K$40-SUM($J$45:J45)</f>
        <v>15155546.1</v>
      </c>
      <c r="P45" s="493">
        <v>0.10340000000000001</v>
      </c>
      <c r="Q45" s="493">
        <v>8.9200000000000002E-2</v>
      </c>
      <c r="S45" s="126">
        <f t="shared" ref="S45:S54" si="6">K45+S44</f>
        <v>240823.1</v>
      </c>
    </row>
    <row r="46" spans="1:19" ht="20.100000000000001" customHeight="1">
      <c r="I46" s="494" t="s">
        <v>244</v>
      </c>
      <c r="J46" s="491">
        <v>423382.18</v>
      </c>
      <c r="K46" s="491">
        <v>58319.81</v>
      </c>
      <c r="L46" s="491">
        <v>365062.37</v>
      </c>
      <c r="M46" s="492">
        <v>1748294.44</v>
      </c>
      <c r="N46" s="492">
        <v>2171676.62</v>
      </c>
      <c r="O46" s="492">
        <f>$K$40-SUM($J$45:J46)</f>
        <v>14732163.92</v>
      </c>
      <c r="P46" s="493">
        <v>2.5000000000000001E-2</v>
      </c>
      <c r="Q46" s="493">
        <v>2.1600000000000001E-2</v>
      </c>
      <c r="S46" s="126">
        <f t="shared" si="6"/>
        <v>299142.90999999997</v>
      </c>
    </row>
    <row r="47" spans="1:19" ht="20.100000000000001" customHeight="1">
      <c r="I47" s="494" t="s">
        <v>245</v>
      </c>
      <c r="J47" s="491">
        <v>1404557.81</v>
      </c>
      <c r="K47" s="491">
        <v>193474.25</v>
      </c>
      <c r="L47" s="491">
        <v>1211083.56</v>
      </c>
      <c r="M47" s="492">
        <v>2171676.62</v>
      </c>
      <c r="N47" s="492">
        <v>3576234.43</v>
      </c>
      <c r="O47" s="492">
        <f>$K$40-SUM($J$45:J47)</f>
        <v>13327606.109999999</v>
      </c>
      <c r="P47" s="493">
        <v>8.3099999999999993E-2</v>
      </c>
      <c r="Q47" s="493">
        <v>7.1599999999999997E-2</v>
      </c>
      <c r="S47" s="126">
        <f t="shared" si="6"/>
        <v>492617.16</v>
      </c>
    </row>
    <row r="48" spans="1:19" ht="20.100000000000001" customHeight="1">
      <c r="I48" s="494" t="s">
        <v>246</v>
      </c>
      <c r="J48" s="491">
        <v>1254299.1200000001</v>
      </c>
      <c r="K48" s="491">
        <v>172776.5</v>
      </c>
      <c r="L48" s="491">
        <v>1081522.6200000001</v>
      </c>
      <c r="M48" s="492">
        <v>3576234.43</v>
      </c>
      <c r="N48" s="492">
        <v>4830533.55</v>
      </c>
      <c r="O48" s="492">
        <f>$K$40-SUM($J$45:J48)</f>
        <v>12073306.99</v>
      </c>
      <c r="P48" s="493">
        <v>7.4200000000000002E-2</v>
      </c>
      <c r="Q48" s="493">
        <v>6.4000000000000001E-2</v>
      </c>
      <c r="S48" s="126">
        <f t="shared" si="6"/>
        <v>665393.66</v>
      </c>
    </row>
    <row r="49" spans="9:19" ht="20.100000000000001" customHeight="1">
      <c r="I49" s="494" t="s">
        <v>247</v>
      </c>
      <c r="J49" s="491">
        <v>1436153.95</v>
      </c>
      <c r="K49" s="491">
        <v>197826.54</v>
      </c>
      <c r="L49" s="491">
        <v>1238327.4099999999</v>
      </c>
      <c r="M49" s="492">
        <v>4830533.55</v>
      </c>
      <c r="N49" s="492">
        <v>6266687.5</v>
      </c>
      <c r="O49" s="492">
        <f>$K$40-SUM($J$45:J49)</f>
        <v>10637153.039999999</v>
      </c>
      <c r="P49" s="493">
        <v>8.5000000000000006E-2</v>
      </c>
      <c r="Q49" s="493">
        <v>7.3300000000000004E-2</v>
      </c>
      <c r="S49" s="126">
        <f t="shared" si="6"/>
        <v>863220.2</v>
      </c>
    </row>
    <row r="50" spans="9:19" ht="20.100000000000001" customHeight="1">
      <c r="I50" s="494" t="s">
        <v>248</v>
      </c>
      <c r="J50" s="491">
        <v>3205525.45</v>
      </c>
      <c r="K50" s="491">
        <v>441552.95</v>
      </c>
      <c r="L50" s="491">
        <v>2763972.5</v>
      </c>
      <c r="M50" s="492">
        <v>6266687.5</v>
      </c>
      <c r="N50" s="492">
        <v>9472212.9499999993</v>
      </c>
      <c r="O50" s="492">
        <f>$K$40-SUM($J$45:J50)</f>
        <v>7431627.5899999999</v>
      </c>
      <c r="P50" s="493">
        <v>0.18959999999999999</v>
      </c>
      <c r="Q50" s="493">
        <v>0.16350000000000001</v>
      </c>
      <c r="S50" s="126">
        <f t="shared" si="6"/>
        <v>1304773.1499999999</v>
      </c>
    </row>
    <row r="51" spans="9:19" ht="20.100000000000001" customHeight="1">
      <c r="I51" s="494" t="s">
        <v>249</v>
      </c>
      <c r="J51" s="491">
        <v>1502233.73</v>
      </c>
      <c r="K51" s="491">
        <v>206928.86</v>
      </c>
      <c r="L51" s="491">
        <v>1295304.8700000001</v>
      </c>
      <c r="M51" s="492">
        <v>9472212.9499999993</v>
      </c>
      <c r="N51" s="492">
        <v>10974446.68</v>
      </c>
      <c r="O51" s="492">
        <f>$K$40-SUM($J$45:J51)</f>
        <v>5929393.8600000003</v>
      </c>
      <c r="P51" s="493">
        <v>8.8900000000000007E-2</v>
      </c>
      <c r="Q51" s="493">
        <v>7.6600000000000001E-2</v>
      </c>
      <c r="S51" s="126">
        <f t="shared" si="6"/>
        <v>1511702.01</v>
      </c>
    </row>
    <row r="52" spans="9:19" ht="20.100000000000001" customHeight="1">
      <c r="I52" s="494" t="s">
        <v>250</v>
      </c>
      <c r="J52" s="491"/>
      <c r="K52" s="491"/>
      <c r="L52" s="491"/>
      <c r="M52" s="492"/>
      <c r="N52" s="492"/>
      <c r="O52" s="492"/>
      <c r="P52" s="493"/>
      <c r="Q52" s="493"/>
      <c r="S52" s="126">
        <f t="shared" si="6"/>
        <v>1511702.01</v>
      </c>
    </row>
    <row r="53" spans="9:19" ht="20.100000000000001" customHeight="1">
      <c r="I53" s="494" t="s">
        <v>251</v>
      </c>
      <c r="J53" s="491"/>
      <c r="K53" s="491"/>
      <c r="L53" s="491"/>
      <c r="M53" s="492"/>
      <c r="N53" s="492"/>
      <c r="O53" s="492"/>
      <c r="P53" s="493"/>
      <c r="Q53" s="493"/>
      <c r="S53" s="126">
        <f t="shared" si="6"/>
        <v>1511702.01</v>
      </c>
    </row>
    <row r="54" spans="9:19" ht="20.100000000000001" customHeight="1">
      <c r="I54" s="494" t="s">
        <v>252</v>
      </c>
      <c r="J54" s="491"/>
      <c r="K54" s="491"/>
      <c r="L54" s="491"/>
      <c r="M54" s="492"/>
      <c r="N54" s="492"/>
      <c r="O54" s="492"/>
      <c r="P54" s="493"/>
      <c r="Q54" s="493"/>
      <c r="S54" s="126">
        <f t="shared" si="6"/>
        <v>1511702.01</v>
      </c>
    </row>
    <row r="55" spans="9:19" ht="24.9" customHeight="1">
      <c r="I55" s="499" t="s">
        <v>158</v>
      </c>
      <c r="J55" s="500">
        <f>SUM(J45:J54)</f>
        <v>10974446.68</v>
      </c>
      <c r="K55" s="500">
        <f>SUM(K45:K54)</f>
        <v>1511702.01</v>
      </c>
      <c r="L55" s="500">
        <f>SUM(L43:L54)</f>
        <v>11791205.57</v>
      </c>
      <c r="M55" s="501">
        <f>MAX(M45:M54)</f>
        <v>9472212.9499999993</v>
      </c>
      <c r="N55" s="501">
        <f>MAX(N45:N54)</f>
        <v>10974446.68</v>
      </c>
      <c r="O55" s="501">
        <f>MIN(O45:O54)</f>
        <v>5929393.8600000003</v>
      </c>
      <c r="P55" s="502">
        <f>SUM(P43:P54)</f>
        <v>0.6492</v>
      </c>
      <c r="Q55" s="502">
        <f>SUM(Q43:Q54)</f>
        <v>0.69750000000000001</v>
      </c>
    </row>
    <row r="56" spans="9:19" ht="5.0999999999999996" customHeight="1">
      <c r="I56" s="483"/>
      <c r="J56" s="483"/>
      <c r="K56" s="503"/>
      <c r="L56" s="503"/>
      <c r="M56" s="483"/>
      <c r="N56" s="483"/>
      <c r="O56" s="483"/>
      <c r="P56" s="483"/>
      <c r="Q56" s="483"/>
    </row>
    <row r="57" spans="9:19" ht="24.9" customHeight="1">
      <c r="I57" s="685" t="s">
        <v>160</v>
      </c>
      <c r="J57" s="685"/>
      <c r="K57" s="605">
        <f>K40-J55</f>
        <v>5929393.8600000003</v>
      </c>
      <c r="L57" s="603" t="str" cm="1">
        <f t="array" ref="L57">UPPER(CONVERTIRNUM(K57))&amp;" BOLIVIANOS"</f>
        <v>CINCO MILLONES NOVECIENTOS VEINTINUEVE MIL TRESCIENTOS NOVENTA Y TRES  86/100 BOLIVIANOS</v>
      </c>
      <c r="M57" s="604"/>
      <c r="N57" s="604"/>
      <c r="O57" s="604"/>
      <c r="P57" s="604"/>
      <c r="Q57" s="604"/>
    </row>
    <row r="58" spans="9:19" ht="24.9" customHeight="1"/>
    <row r="59" spans="9:19" ht="24.9" customHeight="1">
      <c r="J59" s="606">
        <v>1295304.8700000001</v>
      </c>
      <c r="K59" s="607" t="str" cm="1">
        <f t="array" ref="K59">UPPER(CONVERTIRNUM(J59))&amp;" BOLIVIANOS"</f>
        <v>UN MILLÓN DOSCIENTOS NOVENTA Y CINCO MIL TRESCIENTOS CUATRO  87/100 BOLIVIANOS</v>
      </c>
    </row>
    <row r="60" spans="9:19" ht="24.9" customHeight="1"/>
    <row r="61" spans="9:19" ht="24.9" customHeight="1"/>
    <row r="62" spans="9:19" ht="24.9" customHeight="1"/>
  </sheetData>
  <mergeCells count="26">
    <mergeCell ref="I57:J57"/>
    <mergeCell ref="D9:F9"/>
    <mergeCell ref="A9:C9"/>
    <mergeCell ref="I3:I4"/>
    <mergeCell ref="A34:B34"/>
    <mergeCell ref="A35:B35"/>
    <mergeCell ref="E34:F34"/>
    <mergeCell ref="E35:F35"/>
    <mergeCell ref="E5:F5"/>
    <mergeCell ref="E6:F6"/>
    <mergeCell ref="E7:F7"/>
    <mergeCell ref="E8:F8"/>
    <mergeCell ref="I38:Q38"/>
    <mergeCell ref="A1:F1"/>
    <mergeCell ref="A2:F2"/>
    <mergeCell ref="B3:F3"/>
    <mergeCell ref="B4:F4"/>
    <mergeCell ref="N3:N4"/>
    <mergeCell ref="I1:P1"/>
    <mergeCell ref="I2:P2"/>
    <mergeCell ref="O3:O4"/>
    <mergeCell ref="P3:P4"/>
    <mergeCell ref="L3:L4"/>
    <mergeCell ref="K3:K4"/>
    <mergeCell ref="M3:M4"/>
    <mergeCell ref="J3:J4"/>
  </mergeCells>
  <conditionalFormatting sqref="I5:P15">
    <cfRule type="expression" dxfId="33" priority="13">
      <formula>ISODD(ROW(I6))</formula>
    </cfRule>
  </conditionalFormatting>
  <conditionalFormatting sqref="A10:F14">
    <cfRule type="expression" dxfId="32" priority="12">
      <formula>ISEVEN(ROW(I6))</formula>
    </cfRule>
  </conditionalFormatting>
  <conditionalFormatting sqref="A5:E8">
    <cfRule type="expression" dxfId="31" priority="10">
      <formula>ISEVEN(ROW(A5))</formula>
    </cfRule>
  </conditionalFormatting>
  <conditionalFormatting sqref="A16:F33">
    <cfRule type="expression" dxfId="30" priority="152">
      <formula>ISODD(ROW(I14))</formula>
    </cfRule>
  </conditionalFormatting>
  <conditionalFormatting sqref="D16">
    <cfRule type="expression" dxfId="29" priority="9">
      <formula>IF(VLOOKUP(D15,$I$44:$M$54,5,0)&lt;&gt;D16,1,0)</formula>
    </cfRule>
  </conditionalFormatting>
  <conditionalFormatting sqref="D17">
    <cfRule type="expression" dxfId="28" priority="8">
      <formula>IF(VLOOKUP(D15,$I$44:$O$54,2,0)&lt;&gt;D17,1,0)</formula>
    </cfRule>
  </conditionalFormatting>
  <conditionalFormatting sqref="D21">
    <cfRule type="expression" dxfId="27" priority="7">
      <formula>IF(VLOOKUP(D15,$I$44:$O$54,3,0)&lt;&gt;D21,1,0)</formula>
    </cfRule>
  </conditionalFormatting>
  <conditionalFormatting sqref="D33">
    <cfRule type="expression" dxfId="26" priority="6">
      <formula>IF(VLOOKUP(D15,$I$44:$O$54,7,0)&lt;&gt;D33,1,0)</formula>
    </cfRule>
  </conditionalFormatting>
  <conditionalFormatting sqref="D18">
    <cfRule type="expression" dxfId="25" priority="5">
      <formula>IF(VLOOKUP(D15,$I$44:$O$54,6,0)&lt;&gt;D18,1,0)</formula>
    </cfRule>
  </conditionalFormatting>
  <conditionalFormatting sqref="D29">
    <cfRule type="expression" dxfId="24" priority="4">
      <formula>IF(VLOOKUP(D15,$I$44:$O$54,4,0)&lt;&gt;D29,1,0)</formula>
    </cfRule>
  </conditionalFormatting>
  <conditionalFormatting sqref="C34">
    <cfRule type="expression" dxfId="23" priority="3">
      <formula>IF(ROUND($D$31/$D$12,4)&lt;&gt;$O$16,1,0)</formula>
    </cfRule>
  </conditionalFormatting>
  <conditionalFormatting sqref="I43:Q54">
    <cfRule type="expression" dxfId="22" priority="1">
      <formula>ISEVEN(ROW())</formula>
    </cfRule>
  </conditionalFormatting>
  <conditionalFormatting sqref="C35">
    <cfRule type="expression" dxfId="21" priority="154">
      <formula>IF(ROUND(D30/D12,4)&lt;&gt;P16,1,0)</formula>
    </cfRule>
  </conditionalFormatting>
  <dataValidations count="1">
    <dataValidation type="list" allowBlank="1" showInputMessage="1" showErrorMessage="1" sqref="D15" xr:uid="{00000000-0002-0000-0000-000000000000}">
      <formula1>$T$6:$T$15</formula1>
    </dataValidation>
  </dataValidations>
  <printOptions horizontalCentered="1"/>
  <pageMargins left="0.78740157480314965" right="0.39370078740157483" top="0.39370078740157483" bottom="0.39370078740157483" header="0" footer="0"/>
  <pageSetup scale="65" orientation="portrait" horizontalDpi="4294967293" r:id="rId1"/>
  <headerFooter scaleWithDoc="0" alignWithMargins="0"/>
  <colBreaks count="1" manualBreakCount="1">
    <brk id="7" max="34" man="1"/>
  </colBreaks>
  <ignoredErrors>
    <ignoredError sqref="O46:O50" formulaRange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8" tint="-0.249977111117893"/>
    <pageSetUpPr fitToPage="1"/>
  </sheetPr>
  <dimension ref="A1:AX114"/>
  <sheetViews>
    <sheetView showGridLines="0" topLeftCell="A52" zoomScaleNormal="100" zoomScaleSheetLayoutView="110" zoomScalePageLayoutView="60" workbookViewId="0">
      <selection activeCell="A83" sqref="A83:D83"/>
    </sheetView>
  </sheetViews>
  <sheetFormatPr baseColWidth="10" defaultColWidth="11.44140625" defaultRowHeight="13.2"/>
  <cols>
    <col min="1" max="1" width="5.44140625" style="23" customWidth="1"/>
    <col min="2" max="2" width="53.44140625" style="23" customWidth="1"/>
    <col min="3" max="3" width="6.109375" style="23" customWidth="1"/>
    <col min="4" max="5" width="12.6640625" style="23" customWidth="1"/>
    <col min="6" max="6" width="17.5546875" style="23" customWidth="1"/>
    <col min="7" max="8" width="12.6640625" style="23" customWidth="1"/>
    <col min="9" max="9" width="19" style="23" customWidth="1"/>
    <col min="10" max="10" width="11.33203125" style="23" customWidth="1"/>
    <col min="11" max="11" width="15.6640625" style="23" customWidth="1"/>
    <col min="12" max="12" width="17.6640625" style="23" customWidth="1"/>
    <col min="13" max="40" width="15.6640625" style="23" customWidth="1"/>
    <col min="41" max="44" width="18.6640625" style="23" customWidth="1"/>
    <col min="45" max="45" width="2.6640625" style="23" customWidth="1"/>
    <col min="46" max="47" width="15.6640625" style="22" customWidth="1"/>
    <col min="48" max="49" width="18.6640625" style="23" customWidth="1"/>
    <col min="50" max="50" width="11.44140625" style="23" hidden="1" customWidth="1"/>
    <col min="51" max="16384" width="11.44140625" style="23"/>
  </cols>
  <sheetData>
    <row r="1" spans="1:50" s="1" customFormat="1" ht="23.25" customHeight="1">
      <c r="A1" s="712" t="s">
        <v>93</v>
      </c>
      <c r="B1" s="713"/>
      <c r="C1" s="713"/>
      <c r="D1" s="713"/>
      <c r="E1" s="713"/>
      <c r="F1" s="713"/>
      <c r="G1" s="713"/>
      <c r="H1" s="713"/>
      <c r="I1" s="713"/>
      <c r="J1" s="713"/>
      <c r="K1" s="713"/>
      <c r="L1" s="713"/>
      <c r="M1" s="713"/>
      <c r="N1" s="713"/>
      <c r="O1" s="713"/>
      <c r="P1" s="713"/>
      <c r="Q1" s="713"/>
      <c r="R1" s="713"/>
      <c r="S1" s="713"/>
      <c r="T1" s="713"/>
      <c r="U1" s="713"/>
      <c r="V1" s="713"/>
      <c r="W1" s="713"/>
      <c r="X1" s="713"/>
      <c r="Y1" s="713"/>
      <c r="Z1" s="713"/>
      <c r="AA1" s="713"/>
      <c r="AB1" s="713"/>
      <c r="AC1" s="713"/>
      <c r="AD1" s="713"/>
      <c r="AE1" s="713"/>
      <c r="AF1" s="713"/>
      <c r="AG1" s="713"/>
      <c r="AH1" s="713"/>
      <c r="AI1" s="713"/>
      <c r="AJ1" s="713"/>
      <c r="AK1" s="713"/>
      <c r="AL1" s="713"/>
      <c r="AM1" s="713"/>
      <c r="AN1" s="713"/>
      <c r="AO1" s="713"/>
      <c r="AP1" s="713"/>
      <c r="AQ1" s="713"/>
      <c r="AR1" s="714"/>
      <c r="AS1" s="13"/>
      <c r="AT1" s="5"/>
      <c r="AU1" s="5"/>
    </row>
    <row r="2" spans="1:50" s="2" customFormat="1" ht="18.75" customHeight="1">
      <c r="A2" s="715" t="str">
        <f>ANALISIS!A2</f>
        <v>PROYECTO:  MEJORAMIENTO CAMINO ROSARIO DEL INGRE - MACHICOCA - IVOCA (FASE I)</v>
      </c>
      <c r="B2" s="716"/>
      <c r="C2" s="716"/>
      <c r="D2" s="716"/>
      <c r="E2" s="716"/>
      <c r="F2" s="716"/>
      <c r="G2" s="716"/>
      <c r="H2" s="716"/>
      <c r="I2" s="716"/>
      <c r="J2" s="716"/>
      <c r="K2" s="716"/>
      <c r="L2" s="716"/>
      <c r="M2" s="716"/>
      <c r="N2" s="716"/>
      <c r="O2" s="716"/>
      <c r="P2" s="716"/>
      <c r="Q2" s="716"/>
      <c r="R2" s="716"/>
      <c r="S2" s="716"/>
      <c r="T2" s="716"/>
      <c r="U2" s="716"/>
      <c r="V2" s="716"/>
      <c r="W2" s="716"/>
      <c r="X2" s="716"/>
      <c r="Y2" s="716"/>
      <c r="Z2" s="716"/>
      <c r="AA2" s="716"/>
      <c r="AB2" s="716"/>
      <c r="AC2" s="716"/>
      <c r="AD2" s="716"/>
      <c r="AE2" s="716"/>
      <c r="AF2" s="716"/>
      <c r="AG2" s="716"/>
      <c r="AH2" s="716"/>
      <c r="AI2" s="716"/>
      <c r="AJ2" s="716"/>
      <c r="AK2" s="716"/>
      <c r="AL2" s="716"/>
      <c r="AM2" s="716"/>
      <c r="AN2" s="716"/>
      <c r="AO2" s="716"/>
      <c r="AP2" s="716"/>
      <c r="AQ2" s="716"/>
      <c r="AR2" s="717"/>
      <c r="AS2" s="14"/>
      <c r="AT2" s="6"/>
      <c r="AU2" s="6"/>
    </row>
    <row r="3" spans="1:50" s="2" customFormat="1" ht="18.75" customHeight="1">
      <c r="A3" s="718" t="s">
        <v>9</v>
      </c>
      <c r="B3" s="719"/>
      <c r="C3" s="720" t="s">
        <v>78</v>
      </c>
      <c r="D3" s="720"/>
      <c r="E3" s="720"/>
      <c r="F3" s="720"/>
      <c r="G3" s="720"/>
      <c r="H3" s="720"/>
      <c r="I3" s="720"/>
      <c r="J3" s="720"/>
      <c r="K3" s="720"/>
      <c r="L3" s="720"/>
      <c r="M3" s="720"/>
      <c r="N3" s="720"/>
      <c r="O3" s="720"/>
      <c r="P3" s="720"/>
      <c r="Q3" s="720"/>
      <c r="R3" s="720"/>
      <c r="S3" s="720"/>
      <c r="T3" s="720"/>
      <c r="U3" s="720"/>
      <c r="V3" s="720"/>
      <c r="W3" s="720"/>
      <c r="X3" s="720"/>
      <c r="Y3" s="720"/>
      <c r="Z3" s="720"/>
      <c r="AA3" s="720"/>
      <c r="AB3" s="720"/>
      <c r="AC3" s="720"/>
      <c r="AD3" s="720"/>
      <c r="AE3" s="720"/>
      <c r="AF3" s="720"/>
      <c r="AG3" s="720"/>
      <c r="AH3" s="720"/>
      <c r="AI3" s="720"/>
      <c r="AJ3" s="720"/>
      <c r="AK3" s="720"/>
      <c r="AL3" s="720"/>
      <c r="AM3" s="720"/>
      <c r="AN3" s="720"/>
      <c r="AO3" s="720"/>
      <c r="AP3" s="720"/>
      <c r="AQ3" s="720"/>
      <c r="AR3" s="721"/>
      <c r="AS3" s="15"/>
      <c r="AT3" s="6"/>
      <c r="AU3" s="6"/>
    </row>
    <row r="4" spans="1:50" s="2" customFormat="1" ht="17.25" customHeight="1">
      <c r="A4" s="718" t="s">
        <v>15</v>
      </c>
      <c r="B4" s="719"/>
      <c r="C4" s="722" t="s">
        <v>77</v>
      </c>
      <c r="D4" s="722"/>
      <c r="E4" s="722"/>
      <c r="F4" s="722"/>
      <c r="G4" s="722"/>
      <c r="H4" s="722"/>
      <c r="I4" s="722"/>
      <c r="J4" s="722"/>
      <c r="K4" s="722"/>
      <c r="L4" s="722"/>
      <c r="M4" s="722"/>
      <c r="N4" s="722"/>
      <c r="O4" s="722"/>
      <c r="P4" s="722"/>
      <c r="Q4" s="722"/>
      <c r="R4" s="722"/>
      <c r="S4" s="722"/>
      <c r="T4" s="722"/>
      <c r="U4" s="722"/>
      <c r="V4" s="722"/>
      <c r="W4" s="722"/>
      <c r="X4" s="722"/>
      <c r="Y4" s="722"/>
      <c r="Z4" s="722"/>
      <c r="AA4" s="722"/>
      <c r="AB4" s="722"/>
      <c r="AC4" s="722"/>
      <c r="AD4" s="722"/>
      <c r="AE4" s="722"/>
      <c r="AF4" s="722"/>
      <c r="AG4" s="722"/>
      <c r="AH4" s="722"/>
      <c r="AI4" s="722"/>
      <c r="AJ4" s="722"/>
      <c r="AK4" s="722"/>
      <c r="AL4" s="722"/>
      <c r="AM4" s="722"/>
      <c r="AN4" s="722"/>
      <c r="AO4" s="722"/>
      <c r="AP4" s="722"/>
      <c r="AQ4" s="722"/>
      <c r="AR4" s="723"/>
      <c r="AS4" s="16"/>
      <c r="AT4" s="6"/>
      <c r="AU4" s="6"/>
    </row>
    <row r="5" spans="1:50" s="2" customFormat="1" ht="13.8">
      <c r="A5" s="48"/>
      <c r="B5" s="73" t="s">
        <v>11</v>
      </c>
      <c r="C5" s="74"/>
      <c r="D5" s="706">
        <f>ANALISIS!E5</f>
        <v>43759</v>
      </c>
      <c r="E5" s="706"/>
      <c r="F5" s="706"/>
      <c r="G5" s="706"/>
      <c r="H5" s="706"/>
      <c r="I5" s="706"/>
      <c r="J5" s="706"/>
      <c r="K5" s="706"/>
      <c r="L5" s="706"/>
      <c r="M5" s="706"/>
      <c r="N5" s="706"/>
      <c r="O5" s="706"/>
      <c r="P5" s="706"/>
      <c r="Q5" s="706"/>
      <c r="R5" s="706"/>
      <c r="S5" s="706"/>
      <c r="T5" s="706"/>
      <c r="U5" s="706"/>
      <c r="V5" s="706"/>
      <c r="W5" s="706"/>
      <c r="X5" s="706"/>
      <c r="Y5" s="706"/>
      <c r="Z5" s="706"/>
      <c r="AA5" s="706"/>
      <c r="AB5" s="706"/>
      <c r="AC5" s="706"/>
      <c r="AD5" s="706"/>
      <c r="AE5" s="706"/>
      <c r="AF5" s="706"/>
      <c r="AG5" s="706"/>
      <c r="AH5" s="706"/>
      <c r="AI5" s="706"/>
      <c r="AJ5" s="706"/>
      <c r="AK5" s="706"/>
      <c r="AL5" s="706"/>
      <c r="AM5" s="706"/>
      <c r="AN5" s="706"/>
      <c r="AO5" s="706"/>
      <c r="AP5" s="706"/>
      <c r="AQ5" s="706"/>
      <c r="AR5" s="707"/>
      <c r="AS5" s="104"/>
      <c r="AT5" s="6"/>
      <c r="AU5" s="6"/>
    </row>
    <row r="6" spans="1:50" s="2" customFormat="1" ht="13.8">
      <c r="A6" s="49"/>
      <c r="B6" s="75" t="s">
        <v>13</v>
      </c>
      <c r="C6" s="76"/>
      <c r="D6" s="708" t="str">
        <f ca="1">ANALISIS!E6</f>
        <v>2430 Dias Calendario</v>
      </c>
      <c r="E6" s="708"/>
      <c r="F6" s="708"/>
      <c r="G6" s="708"/>
      <c r="H6" s="708"/>
      <c r="I6" s="708"/>
      <c r="J6" s="708"/>
      <c r="K6" s="708"/>
      <c r="L6" s="708"/>
      <c r="M6" s="708"/>
      <c r="N6" s="708"/>
      <c r="O6" s="708"/>
      <c r="P6" s="708"/>
      <c r="Q6" s="708"/>
      <c r="R6" s="708"/>
      <c r="S6" s="708"/>
      <c r="T6" s="708"/>
      <c r="U6" s="708"/>
      <c r="V6" s="708"/>
      <c r="W6" s="708"/>
      <c r="X6" s="708"/>
      <c r="Y6" s="708"/>
      <c r="Z6" s="708"/>
      <c r="AA6" s="708"/>
      <c r="AB6" s="708"/>
      <c r="AC6" s="708"/>
      <c r="AD6" s="708"/>
      <c r="AE6" s="708"/>
      <c r="AF6" s="708"/>
      <c r="AG6" s="708"/>
      <c r="AH6" s="708"/>
      <c r="AI6" s="708"/>
      <c r="AJ6" s="708"/>
      <c r="AK6" s="708"/>
      <c r="AL6" s="708"/>
      <c r="AM6" s="708"/>
      <c r="AN6" s="708"/>
      <c r="AO6" s="708"/>
      <c r="AP6" s="708"/>
      <c r="AQ6" s="708"/>
      <c r="AR6" s="709"/>
      <c r="AS6" s="105"/>
      <c r="AT6" s="6"/>
      <c r="AU6" s="6"/>
    </row>
    <row r="7" spans="1:50" s="2" customFormat="1" ht="13.8">
      <c r="A7" s="49"/>
      <c r="B7" s="75" t="s">
        <v>14</v>
      </c>
      <c r="C7" s="76"/>
      <c r="D7" s="710">
        <f>ANALISIS!E8</f>
        <v>44570</v>
      </c>
      <c r="E7" s="710"/>
      <c r="F7" s="710"/>
      <c r="G7" s="710"/>
      <c r="H7" s="710"/>
      <c r="I7" s="710"/>
      <c r="J7" s="710"/>
      <c r="K7" s="710"/>
      <c r="L7" s="710"/>
      <c r="M7" s="710"/>
      <c r="N7" s="710"/>
      <c r="O7" s="710"/>
      <c r="P7" s="710"/>
      <c r="Q7" s="710"/>
      <c r="R7" s="710"/>
      <c r="S7" s="710"/>
      <c r="T7" s="710"/>
      <c r="U7" s="710"/>
      <c r="V7" s="710"/>
      <c r="W7" s="710"/>
      <c r="X7" s="710"/>
      <c r="Y7" s="710"/>
      <c r="Z7" s="710"/>
      <c r="AA7" s="710"/>
      <c r="AB7" s="710"/>
      <c r="AC7" s="710"/>
      <c r="AD7" s="710"/>
      <c r="AE7" s="710"/>
      <c r="AF7" s="710"/>
      <c r="AG7" s="710"/>
      <c r="AH7" s="710"/>
      <c r="AI7" s="710"/>
      <c r="AJ7" s="710"/>
      <c r="AK7" s="710"/>
      <c r="AL7" s="710"/>
      <c r="AM7" s="710"/>
      <c r="AN7" s="710"/>
      <c r="AO7" s="710"/>
      <c r="AP7" s="710"/>
      <c r="AQ7" s="710"/>
      <c r="AR7" s="711"/>
      <c r="AS7" s="104"/>
      <c r="AT7" s="6"/>
      <c r="AU7" s="6"/>
    </row>
    <row r="8" spans="1:50" s="2" customFormat="1" ht="13.8">
      <c r="A8" s="49"/>
      <c r="B8" s="75" t="s">
        <v>88</v>
      </c>
      <c r="C8" s="76"/>
      <c r="D8" s="710" t="str">
        <f>ANALISIS!E7</f>
        <v>211 Dias Calendario</v>
      </c>
      <c r="E8" s="710"/>
      <c r="F8" s="710"/>
      <c r="G8" s="710"/>
      <c r="H8" s="710"/>
      <c r="I8" s="710"/>
      <c r="J8" s="710"/>
      <c r="K8" s="710"/>
      <c r="L8" s="710"/>
      <c r="M8" s="710"/>
      <c r="N8" s="710"/>
      <c r="O8" s="710"/>
      <c r="P8" s="710"/>
      <c r="Q8" s="710"/>
      <c r="R8" s="710"/>
      <c r="S8" s="710"/>
      <c r="T8" s="710"/>
      <c r="U8" s="710"/>
      <c r="V8" s="710"/>
      <c r="W8" s="710"/>
      <c r="X8" s="710"/>
      <c r="Y8" s="710"/>
      <c r="Z8" s="710"/>
      <c r="AA8" s="710"/>
      <c r="AB8" s="710"/>
      <c r="AC8" s="710"/>
      <c r="AD8" s="710"/>
      <c r="AE8" s="710"/>
      <c r="AF8" s="710"/>
      <c r="AG8" s="710"/>
      <c r="AH8" s="710"/>
      <c r="AI8" s="710"/>
      <c r="AJ8" s="710"/>
      <c r="AK8" s="710"/>
      <c r="AL8" s="710"/>
      <c r="AM8" s="710"/>
      <c r="AN8" s="710"/>
      <c r="AO8" s="710"/>
      <c r="AP8" s="710"/>
      <c r="AQ8" s="710"/>
      <c r="AR8" s="711"/>
      <c r="AS8" s="104"/>
      <c r="AT8" s="6"/>
      <c r="AU8" s="6"/>
    </row>
    <row r="9" spans="1:50" s="2" customFormat="1" ht="13.8">
      <c r="A9" s="49"/>
      <c r="B9" s="75" t="s">
        <v>79</v>
      </c>
      <c r="C9" s="77"/>
      <c r="D9" s="710">
        <f>ANALISIS!E8</f>
        <v>44570</v>
      </c>
      <c r="E9" s="710"/>
      <c r="F9" s="710"/>
      <c r="G9" s="710"/>
      <c r="H9" s="710"/>
      <c r="I9" s="710"/>
      <c r="J9" s="710"/>
      <c r="K9" s="710"/>
      <c r="L9" s="710"/>
      <c r="M9" s="710"/>
      <c r="N9" s="710"/>
      <c r="O9" s="710"/>
      <c r="P9" s="710"/>
      <c r="Q9" s="710"/>
      <c r="R9" s="710"/>
      <c r="S9" s="710"/>
      <c r="T9" s="710"/>
      <c r="U9" s="710"/>
      <c r="V9" s="710"/>
      <c r="W9" s="710"/>
      <c r="X9" s="710"/>
      <c r="Y9" s="710"/>
      <c r="Z9" s="710"/>
      <c r="AA9" s="710"/>
      <c r="AB9" s="710"/>
      <c r="AC9" s="710"/>
      <c r="AD9" s="710"/>
      <c r="AE9" s="710"/>
      <c r="AF9" s="710"/>
      <c r="AG9" s="710"/>
      <c r="AH9" s="710"/>
      <c r="AI9" s="710"/>
      <c r="AJ9" s="710"/>
      <c r="AK9" s="710"/>
      <c r="AL9" s="710"/>
      <c r="AM9" s="710"/>
      <c r="AN9" s="710"/>
      <c r="AO9" s="710"/>
      <c r="AP9" s="710"/>
      <c r="AQ9" s="710"/>
      <c r="AR9" s="711"/>
      <c r="AS9" s="104"/>
      <c r="AT9" s="6"/>
      <c r="AU9" s="6"/>
    </row>
    <row r="10" spans="1:50" s="2" customFormat="1" ht="13.8">
      <c r="A10" s="49"/>
      <c r="B10" s="127" t="s">
        <v>92</v>
      </c>
      <c r="C10" s="128"/>
      <c r="D10" s="710">
        <v>44175</v>
      </c>
      <c r="E10" s="710"/>
      <c r="F10" s="710"/>
      <c r="G10" s="710"/>
      <c r="H10" s="710"/>
      <c r="I10" s="710"/>
      <c r="J10" s="710"/>
      <c r="K10" s="710"/>
      <c r="L10" s="710"/>
      <c r="M10" s="710"/>
      <c r="N10" s="710"/>
      <c r="O10" s="710"/>
      <c r="P10" s="710"/>
      <c r="Q10" s="710"/>
      <c r="R10" s="710"/>
      <c r="S10" s="710"/>
      <c r="T10" s="710"/>
      <c r="U10" s="710"/>
      <c r="V10" s="710"/>
      <c r="W10" s="710"/>
      <c r="X10" s="710"/>
      <c r="Y10" s="710"/>
      <c r="Z10" s="710"/>
      <c r="AA10" s="710"/>
      <c r="AB10" s="710"/>
      <c r="AC10" s="710"/>
      <c r="AD10" s="710"/>
      <c r="AE10" s="710"/>
      <c r="AF10" s="710"/>
      <c r="AG10" s="710"/>
      <c r="AH10" s="710"/>
      <c r="AI10" s="710"/>
      <c r="AJ10" s="710"/>
      <c r="AK10" s="710"/>
      <c r="AL10" s="710"/>
      <c r="AM10" s="710"/>
      <c r="AN10" s="710"/>
      <c r="AO10" s="710"/>
      <c r="AP10" s="710"/>
      <c r="AQ10" s="710"/>
      <c r="AR10" s="711"/>
      <c r="AS10" s="17"/>
      <c r="AT10" s="6"/>
      <c r="AU10" s="6"/>
    </row>
    <row r="11" spans="1:50" s="2" customFormat="1" ht="35.1" customHeight="1">
      <c r="A11" s="18"/>
      <c r="B11" s="85"/>
      <c r="C11" s="4"/>
      <c r="D11" s="129"/>
      <c r="E11" s="129"/>
      <c r="F11" s="129"/>
      <c r="G11" s="129"/>
      <c r="H11" s="129"/>
      <c r="I11" s="129"/>
      <c r="J11" s="129"/>
      <c r="K11" s="741" t="s">
        <v>240</v>
      </c>
      <c r="L11" s="742"/>
      <c r="M11" s="742"/>
      <c r="N11" s="742"/>
      <c r="O11" s="742"/>
      <c r="P11" s="742"/>
      <c r="Q11" s="742"/>
      <c r="R11" s="742"/>
      <c r="S11" s="742"/>
      <c r="T11" s="742"/>
      <c r="U11" s="742"/>
      <c r="V11" s="742"/>
      <c r="W11" s="742"/>
      <c r="X11" s="742"/>
      <c r="Y11" s="742"/>
      <c r="Z11" s="742"/>
      <c r="AA11" s="742"/>
      <c r="AB11" s="742"/>
      <c r="AC11" s="742"/>
      <c r="AD11" s="742"/>
      <c r="AE11" s="742"/>
      <c r="AF11" s="742"/>
      <c r="AG11" s="742"/>
      <c r="AH11" s="742"/>
      <c r="AI11" s="742"/>
      <c r="AJ11" s="742"/>
      <c r="AK11" s="742"/>
      <c r="AL11" s="742"/>
      <c r="AM11" s="742"/>
      <c r="AN11" s="742"/>
      <c r="AO11" s="742"/>
      <c r="AP11" s="743"/>
      <c r="AQ11" s="744" t="s">
        <v>91</v>
      </c>
      <c r="AR11" s="745"/>
      <c r="AS11" s="17"/>
      <c r="AT11" s="752"/>
      <c r="AU11" s="752"/>
    </row>
    <row r="12" spans="1:50" s="20" customFormat="1" ht="20.25" customHeight="1">
      <c r="A12" s="728" t="s">
        <v>2</v>
      </c>
      <c r="B12" s="728" t="s">
        <v>0</v>
      </c>
      <c r="C12" s="732" t="s">
        <v>3</v>
      </c>
      <c r="D12" s="732"/>
      <c r="E12" s="732"/>
      <c r="F12" s="732"/>
      <c r="G12" s="733" t="s">
        <v>80</v>
      </c>
      <c r="H12" s="734"/>
      <c r="I12" s="734"/>
      <c r="J12" s="735"/>
      <c r="K12" s="736" t="s">
        <v>243</v>
      </c>
      <c r="L12" s="737"/>
      <c r="M12" s="738"/>
      <c r="N12" s="736" t="s">
        <v>244</v>
      </c>
      <c r="O12" s="737"/>
      <c r="P12" s="738"/>
      <c r="Q12" s="736" t="s">
        <v>245</v>
      </c>
      <c r="R12" s="737"/>
      <c r="S12" s="738"/>
      <c r="T12" s="736" t="s">
        <v>246</v>
      </c>
      <c r="U12" s="737"/>
      <c r="V12" s="738"/>
      <c r="W12" s="736" t="s">
        <v>247</v>
      </c>
      <c r="X12" s="737"/>
      <c r="Y12" s="738"/>
      <c r="Z12" s="736" t="s">
        <v>248</v>
      </c>
      <c r="AA12" s="737"/>
      <c r="AB12" s="738"/>
      <c r="AC12" s="736" t="s">
        <v>249</v>
      </c>
      <c r="AD12" s="737"/>
      <c r="AE12" s="738"/>
      <c r="AF12" s="736" t="s">
        <v>250</v>
      </c>
      <c r="AG12" s="737"/>
      <c r="AH12" s="738"/>
      <c r="AI12" s="736" t="s">
        <v>251</v>
      </c>
      <c r="AJ12" s="737"/>
      <c r="AK12" s="738"/>
      <c r="AL12" s="736" t="s">
        <v>252</v>
      </c>
      <c r="AM12" s="737"/>
      <c r="AN12" s="738"/>
      <c r="AO12" s="748" t="s">
        <v>84</v>
      </c>
      <c r="AP12" s="749"/>
      <c r="AQ12" s="744"/>
      <c r="AR12" s="745"/>
      <c r="AT12" s="752"/>
      <c r="AU12" s="752"/>
    </row>
    <row r="13" spans="1:50" s="20" customFormat="1" ht="15" customHeight="1">
      <c r="A13" s="728"/>
      <c r="B13" s="728"/>
      <c r="C13" s="732" t="s">
        <v>5</v>
      </c>
      <c r="D13" s="732"/>
      <c r="E13" s="728" t="s">
        <v>1</v>
      </c>
      <c r="F13" s="728" t="s">
        <v>6</v>
      </c>
      <c r="G13" s="730" t="s">
        <v>81</v>
      </c>
      <c r="H13" s="730" t="s">
        <v>82</v>
      </c>
      <c r="I13" s="730" t="s">
        <v>89</v>
      </c>
      <c r="J13" s="726" t="s">
        <v>4</v>
      </c>
      <c r="K13" s="155" t="s">
        <v>185</v>
      </c>
      <c r="L13" s="739" t="s">
        <v>205</v>
      </c>
      <c r="M13" s="740"/>
      <c r="N13" s="155" t="s">
        <v>185</v>
      </c>
      <c r="O13" s="739" t="s">
        <v>206</v>
      </c>
      <c r="P13" s="740"/>
      <c r="Q13" s="155" t="s">
        <v>185</v>
      </c>
      <c r="R13" s="739" t="s">
        <v>207</v>
      </c>
      <c r="S13" s="740"/>
      <c r="T13" s="155" t="s">
        <v>185</v>
      </c>
      <c r="U13" s="739" t="s">
        <v>208</v>
      </c>
      <c r="V13" s="740"/>
      <c r="W13" s="107" t="s">
        <v>185</v>
      </c>
      <c r="X13" s="739" t="s">
        <v>209</v>
      </c>
      <c r="Y13" s="740"/>
      <c r="Z13" s="107" t="s">
        <v>185</v>
      </c>
      <c r="AA13" s="754" t="s">
        <v>210</v>
      </c>
      <c r="AB13" s="747"/>
      <c r="AC13" s="390" t="s">
        <v>185</v>
      </c>
      <c r="AD13" s="754" t="s">
        <v>270</v>
      </c>
      <c r="AE13" s="747"/>
      <c r="AF13" s="396" t="s">
        <v>185</v>
      </c>
      <c r="AG13" s="754"/>
      <c r="AH13" s="747"/>
      <c r="AI13" s="396" t="s">
        <v>185</v>
      </c>
      <c r="AJ13" s="754"/>
      <c r="AK13" s="747"/>
      <c r="AL13" s="107" t="s">
        <v>185</v>
      </c>
      <c r="AM13" s="754"/>
      <c r="AN13" s="747"/>
      <c r="AO13" s="750"/>
      <c r="AP13" s="751"/>
      <c r="AQ13" s="746"/>
      <c r="AR13" s="747"/>
      <c r="AT13" s="753"/>
      <c r="AU13" s="753"/>
    </row>
    <row r="14" spans="1:50" s="20" customFormat="1" ht="33.75" customHeight="1">
      <c r="A14" s="728"/>
      <c r="B14" s="729"/>
      <c r="C14" s="21" t="s">
        <v>7</v>
      </c>
      <c r="D14" s="21" t="s">
        <v>8</v>
      </c>
      <c r="E14" s="729"/>
      <c r="F14" s="729"/>
      <c r="G14" s="731"/>
      <c r="H14" s="731"/>
      <c r="I14" s="731"/>
      <c r="J14" s="727"/>
      <c r="K14" s="55" t="s">
        <v>1</v>
      </c>
      <c r="L14" s="55" t="s">
        <v>90</v>
      </c>
      <c r="M14" s="55" t="s">
        <v>151</v>
      </c>
      <c r="N14" s="55" t="s">
        <v>1</v>
      </c>
      <c r="O14" s="55" t="s">
        <v>90</v>
      </c>
      <c r="P14" s="55" t="s">
        <v>151</v>
      </c>
      <c r="Q14" s="55" t="s">
        <v>1</v>
      </c>
      <c r="R14" s="55" t="s">
        <v>90</v>
      </c>
      <c r="S14" s="55" t="s">
        <v>151</v>
      </c>
      <c r="T14" s="55" t="s">
        <v>1</v>
      </c>
      <c r="U14" s="55" t="s">
        <v>90</v>
      </c>
      <c r="V14" s="55" t="s">
        <v>151</v>
      </c>
      <c r="W14" s="55" t="s">
        <v>1</v>
      </c>
      <c r="X14" s="55" t="s">
        <v>90</v>
      </c>
      <c r="Y14" s="55" t="s">
        <v>151</v>
      </c>
      <c r="Z14" s="55" t="s">
        <v>1</v>
      </c>
      <c r="AA14" s="55" t="s">
        <v>90</v>
      </c>
      <c r="AB14" s="142" t="s">
        <v>151</v>
      </c>
      <c r="AC14" s="55" t="s">
        <v>1</v>
      </c>
      <c r="AD14" s="55" t="s">
        <v>90</v>
      </c>
      <c r="AE14" s="142" t="s">
        <v>151</v>
      </c>
      <c r="AF14" s="55" t="s">
        <v>1</v>
      </c>
      <c r="AG14" s="55" t="s">
        <v>90</v>
      </c>
      <c r="AH14" s="142" t="s">
        <v>151</v>
      </c>
      <c r="AI14" s="55" t="s">
        <v>1</v>
      </c>
      <c r="AJ14" s="55" t="s">
        <v>90</v>
      </c>
      <c r="AK14" s="142" t="s">
        <v>151</v>
      </c>
      <c r="AL14" s="55" t="s">
        <v>1</v>
      </c>
      <c r="AM14" s="55" t="s">
        <v>90</v>
      </c>
      <c r="AN14" s="142" t="s">
        <v>151</v>
      </c>
      <c r="AO14" s="55" t="s">
        <v>1</v>
      </c>
      <c r="AP14" s="55" t="s">
        <v>90</v>
      </c>
      <c r="AQ14" s="141" t="s">
        <v>150</v>
      </c>
      <c r="AR14" s="141" t="s">
        <v>151</v>
      </c>
      <c r="AT14" s="145" t="s">
        <v>152</v>
      </c>
      <c r="AU14" s="145" t="s">
        <v>153</v>
      </c>
    </row>
    <row r="15" spans="1:50" ht="18" customHeight="1">
      <c r="A15" s="61"/>
      <c r="B15" s="62" t="s">
        <v>26</v>
      </c>
      <c r="C15" s="63"/>
      <c r="D15" s="64"/>
      <c r="E15" s="64"/>
      <c r="F15" s="65"/>
      <c r="G15" s="66"/>
      <c r="H15" s="66"/>
      <c r="I15" s="66"/>
      <c r="J15" s="67"/>
      <c r="K15" s="67"/>
      <c r="L15" s="400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  <c r="AA15" s="278"/>
      <c r="AB15" s="278"/>
      <c r="AC15" s="278"/>
      <c r="AD15" s="278"/>
      <c r="AE15" s="278"/>
      <c r="AF15" s="278"/>
      <c r="AG15" s="278"/>
      <c r="AH15" s="278"/>
      <c r="AI15" s="278"/>
      <c r="AJ15" s="278"/>
      <c r="AK15" s="278"/>
      <c r="AL15" s="67"/>
      <c r="AM15" s="67"/>
      <c r="AN15" s="162"/>
      <c r="AO15" s="78"/>
      <c r="AP15" s="78"/>
      <c r="AQ15" s="80"/>
      <c r="AR15" s="81"/>
      <c r="AT15" s="23"/>
      <c r="AU15" s="23"/>
    </row>
    <row r="16" spans="1:50" ht="18" customHeight="1">
      <c r="A16" s="53">
        <v>1</v>
      </c>
      <c r="B16" s="24" t="s">
        <v>17</v>
      </c>
      <c r="C16" s="25" t="s">
        <v>18</v>
      </c>
      <c r="D16" s="87">
        <v>47860.38</v>
      </c>
      <c r="E16" s="87">
        <v>0.5</v>
      </c>
      <c r="F16" s="283">
        <f t="shared" ref="F16:F21" si="0">ROUND(D16*E16,2)</f>
        <v>23930.19</v>
      </c>
      <c r="G16" s="369">
        <v>0</v>
      </c>
      <c r="H16" s="370">
        <v>0.5</v>
      </c>
      <c r="I16" s="370">
        <f t="shared" ref="I16:I21" si="1">ROUND(H16*D16,2)</f>
        <v>23930.19</v>
      </c>
      <c r="J16" s="371">
        <f>G16/E16</f>
        <v>0</v>
      </c>
      <c r="K16" s="86">
        <v>0.5</v>
      </c>
      <c r="L16" s="406">
        <f>IF(RIGHT(K$12,2)&lt;=RIGHT(ANALISIS!$D$15,2),ROUND(K16*$D16,2),0)</f>
        <v>23930.19</v>
      </c>
      <c r="M16" s="159">
        <f>IFERROR(ROUND(L16/$I16,4),"")</f>
        <v>1</v>
      </c>
      <c r="N16" s="86"/>
      <c r="O16" s="406">
        <f>IF(RIGHT(N$12,2)&lt;=RIGHT(ANALISIS!$D$15,2),ROUND(N16*$D16,2),0)</f>
        <v>0</v>
      </c>
      <c r="P16" s="159">
        <f>IFERROR(ROUND(O16/$I16,4),"")</f>
        <v>0</v>
      </c>
      <c r="Q16" s="86"/>
      <c r="R16" s="406">
        <f>IF(RIGHT(Q$12,2)&lt;=RIGHT(ANALISIS!$D$15,2),ROUND(Q16*$D16,2),0)</f>
        <v>0</v>
      </c>
      <c r="S16" s="159">
        <f>IFERROR(ROUND(R16/$I16,4),"")</f>
        <v>0</v>
      </c>
      <c r="T16" s="89"/>
      <c r="U16" s="408">
        <f>IF(RIGHT(T$12,2)&lt;=RIGHT(ANALISIS!$D$15,2),ROUND(T16*$D16,2),0)</f>
        <v>0</v>
      </c>
      <c r="V16" s="159">
        <f>IFERROR(ROUND(U16/$I16,4),"")</f>
        <v>0</v>
      </c>
      <c r="W16" s="89"/>
      <c r="X16" s="408">
        <f>IF(RIGHT(W$12,2)&lt;=RIGHT(ANALISIS!$D$15,2),ROUND(W16*$D16,2),0)</f>
        <v>0</v>
      </c>
      <c r="Y16" s="159">
        <f>IFERROR(ROUND(X16/$I16,4),"")</f>
        <v>0</v>
      </c>
      <c r="Z16" s="88"/>
      <c r="AA16" s="409">
        <f>IF(RIGHT(Z$12,2)&lt;=RIGHT(ANALISIS!$D$15,2),ROUND(Z16*$D16,2),0)</f>
        <v>0</v>
      </c>
      <c r="AB16" s="159">
        <f>IFERROR(ROUND(AA16/$I16,4),"")</f>
        <v>0</v>
      </c>
      <c r="AC16" s="88"/>
      <c r="AD16" s="409">
        <f>IF(RIGHT(AC$12,2)&lt;=RIGHT(ANALISIS!$D$15,2),ROUND(AC16*$D16,2),0)</f>
        <v>0</v>
      </c>
      <c r="AE16" s="159">
        <f>IFERROR(ROUND(AD16/$I16,4),"")</f>
        <v>0</v>
      </c>
      <c r="AF16" s="88"/>
      <c r="AG16" s="409">
        <f>IF(RIGHT(AF$12,2)&lt;=RIGHT(ANALISIS!$D$15,2),ROUND(AF16*$D16,2),0)</f>
        <v>0</v>
      </c>
      <c r="AH16" s="159">
        <f>IFERROR(ROUND(AG16/$I16,4),"")</f>
        <v>0</v>
      </c>
      <c r="AI16" s="88"/>
      <c r="AJ16" s="409">
        <f>IF(RIGHT(AI$12,2)&lt;=RIGHT(ANALISIS!$D$15,2),ROUND(AI16*$D16,2),0)</f>
        <v>0</v>
      </c>
      <c r="AK16" s="159">
        <f>IFERROR(ROUND(AJ16/$I16,4),"")</f>
        <v>0</v>
      </c>
      <c r="AL16" s="88"/>
      <c r="AM16" s="409">
        <f>IF(RIGHT(AL$12,2)&lt;=RIGHT(ANALISIS!$D$15,2),ROUND(AL16*$D16,2),0)</f>
        <v>0</v>
      </c>
      <c r="AN16" s="159">
        <f>IFERROR(ROUND(AM16/$I16,4),"")</f>
        <v>0</v>
      </c>
      <c r="AO16" s="56">
        <f t="shared" ref="AO16:AO21" si="2">K16+N16+Q16+T16+W16+Z16+AL16</f>
        <v>0.5</v>
      </c>
      <c r="AP16" s="410">
        <f>L16+O16+R16+U16+X16+AA16+AD16+AG16+AJ16+AM16</f>
        <v>23930.19</v>
      </c>
      <c r="AQ16" s="363">
        <f>IFERROR(ROUND(AO16/H16,4),"")</f>
        <v>1</v>
      </c>
      <c r="AR16" s="363">
        <f>IFERROR(ROUND(AP16/I16,4),"")</f>
        <v>1</v>
      </c>
      <c r="AT16" s="407">
        <f t="shared" ref="AT16:AT21" si="3">I16-AP16</f>
        <v>0</v>
      </c>
      <c r="AU16" s="57">
        <f>IFERROR(AT16/I16,"")</f>
        <v>0</v>
      </c>
      <c r="AX16" s="23">
        <f ca="1">IF(AP16&lt;&gt;INDIRECT("'"&amp;ANALISIS!$D$15&amp;"'!P"&amp;ROW()),1,0)</f>
        <v>0</v>
      </c>
    </row>
    <row r="17" spans="1:50" ht="18" customHeight="1">
      <c r="A17" s="54">
        <f>1+A16</f>
        <v>2</v>
      </c>
      <c r="B17" s="26" t="s">
        <v>19</v>
      </c>
      <c r="C17" s="27" t="s">
        <v>20</v>
      </c>
      <c r="D17" s="90">
        <v>4767.6099999999997</v>
      </c>
      <c r="E17" s="90">
        <v>5.57</v>
      </c>
      <c r="F17" s="284">
        <f t="shared" si="0"/>
        <v>26555.59</v>
      </c>
      <c r="G17" s="372">
        <v>0</v>
      </c>
      <c r="H17" s="373">
        <v>5.57</v>
      </c>
      <c r="I17" s="373">
        <f t="shared" si="1"/>
        <v>26555.59</v>
      </c>
      <c r="J17" s="374">
        <f t="shared" ref="J17:J25" si="4">G17/E17</f>
        <v>0</v>
      </c>
      <c r="K17" s="89">
        <v>5.57</v>
      </c>
      <c r="L17" s="408">
        <f>IF(RIGHT(K$12,2)&lt;=RIGHT(ANALISIS!$D$15,2),ROUND(K17*$D17,2),0)</f>
        <v>26555.59</v>
      </c>
      <c r="M17" s="160">
        <f t="shared" ref="M17:M21" si="5">IFERROR(ROUND(L17/$I17,4),"")</f>
        <v>1</v>
      </c>
      <c r="N17" s="89"/>
      <c r="O17" s="408">
        <f>IF(RIGHT(N$12,2)&lt;=RIGHT(ANALISIS!$D$15,2),ROUND(N17*$D17,2),0)</f>
        <v>0</v>
      </c>
      <c r="P17" s="160">
        <f t="shared" ref="P17:P21" si="6">IFERROR(ROUND(O17/$I17,4),"")</f>
        <v>0</v>
      </c>
      <c r="Q17" s="89"/>
      <c r="R17" s="408">
        <f>IF(RIGHT(Q$12,2)&lt;=RIGHT(ANALISIS!$D$15,2),ROUND(Q17*$D17,2),0)</f>
        <v>0</v>
      </c>
      <c r="S17" s="160">
        <f t="shared" ref="S17:S21" si="7">IFERROR(ROUND(R17/$I17,4),"")</f>
        <v>0</v>
      </c>
      <c r="T17" s="89"/>
      <c r="U17" s="408">
        <f>IF(RIGHT(T$12,2)&lt;=RIGHT(ANALISIS!$D$15,2),ROUND(T17*$D17,2),0)</f>
        <v>0</v>
      </c>
      <c r="V17" s="160">
        <f t="shared" ref="V17:V21" si="8">IFERROR(ROUND(U17/$I17,4),"")</f>
        <v>0</v>
      </c>
      <c r="W17" s="89"/>
      <c r="X17" s="408">
        <f>IF(RIGHT(W$12,2)&lt;=RIGHT(ANALISIS!$D$15,2),ROUND(W17*$D17,2),0)</f>
        <v>0</v>
      </c>
      <c r="Y17" s="160">
        <f t="shared" ref="Y17:Y21" si="9">IFERROR(ROUND(X17/$I17,4),"")</f>
        <v>0</v>
      </c>
      <c r="Z17" s="91"/>
      <c r="AA17" s="412">
        <f>IF(RIGHT(Z$12,2)&lt;=RIGHT(ANALISIS!$D$15,2),ROUND(Z17*$D17,2),0)</f>
        <v>0</v>
      </c>
      <c r="AB17" s="160">
        <f t="shared" ref="AB17:AB21" si="10">IFERROR(ROUND(AA17/$I17,4),"")</f>
        <v>0</v>
      </c>
      <c r="AC17" s="91"/>
      <c r="AD17" s="412">
        <f>IF(RIGHT(AC$12,2)&lt;=RIGHT(ANALISIS!$D$15,2),ROUND(AC17*$D17,2),0)</f>
        <v>0</v>
      </c>
      <c r="AE17" s="160">
        <f t="shared" ref="AE17:AE21" si="11">IFERROR(ROUND(AD17/$I17,4),"")</f>
        <v>0</v>
      </c>
      <c r="AF17" s="91"/>
      <c r="AG17" s="412">
        <f>IF(RIGHT(AF$12,2)&lt;=RIGHT(ANALISIS!$D$15,2),ROUND(AF17*$D17,2),0)</f>
        <v>0</v>
      </c>
      <c r="AH17" s="160">
        <f t="shared" ref="AH17:AH21" si="12">IFERROR(ROUND(AG17/$I17,4),"")</f>
        <v>0</v>
      </c>
      <c r="AI17" s="91"/>
      <c r="AJ17" s="412">
        <f>IF(RIGHT(AI$12,2)&lt;=RIGHT(ANALISIS!$D$15,2),ROUND(AI17*$D17,2),0)</f>
        <v>0</v>
      </c>
      <c r="AK17" s="160">
        <f t="shared" ref="AK17:AK21" si="13">IFERROR(ROUND(AJ17/$I17,4),"")</f>
        <v>0</v>
      </c>
      <c r="AL17" s="91"/>
      <c r="AM17" s="412">
        <f>IF(RIGHT(AL$12,2)&lt;=RIGHT(ANALISIS!$D$15,2),ROUND(AL17*$D17,2),0)</f>
        <v>0</v>
      </c>
      <c r="AN17" s="160">
        <f t="shared" ref="AN17:AN21" si="14">IFERROR(ROUND(AM17/$I17,4),"")</f>
        <v>0</v>
      </c>
      <c r="AO17" s="50">
        <f t="shared" si="2"/>
        <v>5.57</v>
      </c>
      <c r="AP17" s="413">
        <f t="shared" ref="AP17:AP80" si="15">L17+O17+R17+U17+X17+AA17+AD17+AG17+AJ17+AM17</f>
        <v>26555.59</v>
      </c>
      <c r="AQ17" s="364">
        <f t="shared" ref="AQ17:AQ21" si="16">IFERROR(ROUND(AO17/H17,4),"")</f>
        <v>1</v>
      </c>
      <c r="AR17" s="364">
        <f t="shared" ref="AR17:AR21" si="17">IFERROR(ROUND(AP17/I17,4),"")</f>
        <v>1</v>
      </c>
      <c r="AT17" s="411">
        <f t="shared" si="3"/>
        <v>0</v>
      </c>
      <c r="AU17" s="58">
        <f t="shared" ref="AU17:AU20" si="18">IFERROR(AT17/I17,"")</f>
        <v>0</v>
      </c>
      <c r="AX17" s="23">
        <f ca="1">IF(AP17&lt;&gt;INDIRECT("'"&amp;ANALISIS!$D$15&amp;"'!P"&amp;ROW()),1,0)</f>
        <v>0</v>
      </c>
    </row>
    <row r="18" spans="1:50" ht="18" customHeight="1">
      <c r="A18" s="54">
        <f>1+A17</f>
        <v>3</v>
      </c>
      <c r="B18" s="26" t="s">
        <v>21</v>
      </c>
      <c r="C18" s="27" t="s">
        <v>10</v>
      </c>
      <c r="D18" s="90">
        <v>15.64</v>
      </c>
      <c r="E18" s="90">
        <v>40377.64</v>
      </c>
      <c r="F18" s="284">
        <f t="shared" si="0"/>
        <v>631506.29</v>
      </c>
      <c r="G18" s="372">
        <v>57206.19</v>
      </c>
      <c r="H18" s="373">
        <v>97583.83</v>
      </c>
      <c r="I18" s="373">
        <f t="shared" si="1"/>
        <v>1526211.1</v>
      </c>
      <c r="J18" s="374">
        <f t="shared" si="4"/>
        <v>1.4168000000000001</v>
      </c>
      <c r="K18" s="89">
        <v>6630.3</v>
      </c>
      <c r="L18" s="408">
        <f>IF(RIGHT(K$12,2)&lt;=RIGHT(ANALISIS!$D$15,2),ROUND(K18*$D18,2),0)</f>
        <v>103697.89</v>
      </c>
      <c r="M18" s="160">
        <f t="shared" si="5"/>
        <v>6.7900000000000002E-2</v>
      </c>
      <c r="N18" s="89">
        <v>126.55</v>
      </c>
      <c r="O18" s="408">
        <f>IF(RIGHT(N$12,2)&lt;=RIGHT(ANALISIS!$D$15,2),ROUND(N18*$D18,2),0)</f>
        <v>1979.24</v>
      </c>
      <c r="P18" s="160">
        <f t="shared" si="6"/>
        <v>1.2999999999999999E-3</v>
      </c>
      <c r="Q18" s="89">
        <v>32402.55</v>
      </c>
      <c r="R18" s="414">
        <f>IF(RIGHT(Q$12,2)&lt;=RIGHT(ANALISIS!$D$15,2),ROUND(Q18*$D18,2),0)</f>
        <v>506775.88</v>
      </c>
      <c r="S18" s="160">
        <f t="shared" si="7"/>
        <v>0.33200000000000002</v>
      </c>
      <c r="T18" s="89">
        <v>15781.43</v>
      </c>
      <c r="U18" s="408">
        <f>IF(RIGHT(T$12,2)&lt;=RIGHT(ANALISIS!$D$15,2),ROUND(T18*$D18,2),0)</f>
        <v>246821.57</v>
      </c>
      <c r="V18" s="160">
        <f t="shared" si="8"/>
        <v>0.16170000000000001</v>
      </c>
      <c r="W18" s="89">
        <v>12367.2</v>
      </c>
      <c r="X18" s="408">
        <f>IF(RIGHT(W$12,2)&lt;=RIGHT(ANALISIS!$D$15,2),ROUND(W18*$D18,2),0)</f>
        <v>193423.01</v>
      </c>
      <c r="Y18" s="160">
        <f t="shared" si="9"/>
        <v>0.12670000000000001</v>
      </c>
      <c r="Z18" s="91">
        <v>27823.9</v>
      </c>
      <c r="AA18" s="412">
        <f>IF(RIGHT(Z$12,2)&lt;=RIGHT(ANALISIS!$D$15,2),ROUND(Z18*$D18,2),0)</f>
        <v>435165.8</v>
      </c>
      <c r="AB18" s="160">
        <f t="shared" si="10"/>
        <v>0.28510000000000002</v>
      </c>
      <c r="AC18" s="91"/>
      <c r="AD18" s="412">
        <f>IF(RIGHT(AC$12,2)&lt;=RIGHT(ANALISIS!$D$15,2),ROUND(AC18*$D18,2),0)</f>
        <v>0</v>
      </c>
      <c r="AE18" s="160">
        <f t="shared" si="11"/>
        <v>0</v>
      </c>
      <c r="AF18" s="91"/>
      <c r="AG18" s="412">
        <f>IF(RIGHT(AF$12,2)&lt;=RIGHT(ANALISIS!$D$15,2),ROUND(AF18*$D18,2),0)</f>
        <v>0</v>
      </c>
      <c r="AH18" s="160">
        <f t="shared" si="12"/>
        <v>0</v>
      </c>
      <c r="AI18" s="91"/>
      <c r="AJ18" s="412">
        <f>IF(RIGHT(AI$12,2)&lt;=RIGHT(ANALISIS!$D$15,2),ROUND(AI18*$D18,2),0)</f>
        <v>0</v>
      </c>
      <c r="AK18" s="160">
        <f t="shared" si="13"/>
        <v>0</v>
      </c>
      <c r="AL18" s="91"/>
      <c r="AM18" s="412">
        <f>IF(RIGHT(AL$12,2)&lt;=RIGHT(ANALISIS!$D$15,2),ROUND(AL18*$D18,2),0)</f>
        <v>0</v>
      </c>
      <c r="AN18" s="160">
        <f t="shared" si="14"/>
        <v>0</v>
      </c>
      <c r="AO18" s="50">
        <f t="shared" si="2"/>
        <v>95131.93</v>
      </c>
      <c r="AP18" s="413">
        <f t="shared" si="15"/>
        <v>1487863.39</v>
      </c>
      <c r="AQ18" s="364">
        <f t="shared" si="16"/>
        <v>0.97</v>
      </c>
      <c r="AR18" s="364">
        <f t="shared" si="17"/>
        <v>0.97</v>
      </c>
      <c r="AS18" s="28"/>
      <c r="AT18" s="411">
        <f t="shared" si="3"/>
        <v>38347.71</v>
      </c>
      <c r="AU18" s="58">
        <f t="shared" si="18"/>
        <v>0.03</v>
      </c>
      <c r="AX18" s="23">
        <f ca="1">IF(AP18&lt;&gt;INDIRECT("'"&amp;ANALISIS!$D$15&amp;"'!P"&amp;ROW()),1,0)</f>
        <v>0</v>
      </c>
    </row>
    <row r="19" spans="1:50" ht="18" customHeight="1">
      <c r="A19" s="54">
        <f>1+A18</f>
        <v>4</v>
      </c>
      <c r="B19" s="26" t="s">
        <v>22</v>
      </c>
      <c r="C19" s="27" t="s">
        <v>10</v>
      </c>
      <c r="D19" s="90">
        <v>18.52</v>
      </c>
      <c r="E19" s="90">
        <v>10580</v>
      </c>
      <c r="F19" s="284">
        <f t="shared" si="0"/>
        <v>195941.6</v>
      </c>
      <c r="G19" s="372">
        <v>17742.57</v>
      </c>
      <c r="H19" s="373">
        <v>28322.57</v>
      </c>
      <c r="I19" s="373">
        <f t="shared" si="1"/>
        <v>524534</v>
      </c>
      <c r="J19" s="374">
        <f t="shared" si="4"/>
        <v>1.677</v>
      </c>
      <c r="K19" s="89">
        <v>5999.2</v>
      </c>
      <c r="L19" s="408">
        <f>IF(RIGHT(K$12,2)&lt;=RIGHT(ANALISIS!$D$15,2),ROUND(K19*$D19,2),0)</f>
        <v>111105.18</v>
      </c>
      <c r="M19" s="160">
        <f t="shared" si="5"/>
        <v>0.21179999999999999</v>
      </c>
      <c r="N19" s="89">
        <v>2740.15</v>
      </c>
      <c r="O19" s="408">
        <f>IF(RIGHT(N$12,2)&lt;=RIGHT(ANALISIS!$D$15,2),ROUND(N19*$D19,2),0)</f>
        <v>50747.58</v>
      </c>
      <c r="P19" s="160">
        <f t="shared" si="6"/>
        <v>9.6699999999999994E-2</v>
      </c>
      <c r="Q19" s="89"/>
      <c r="R19" s="408">
        <f>IF(RIGHT(Q$12,2)&lt;=RIGHT(ANALISIS!$D$15,2),ROUND(Q19*$D19,2),0)</f>
        <v>0</v>
      </c>
      <c r="S19" s="160">
        <f t="shared" si="7"/>
        <v>0</v>
      </c>
      <c r="T19" s="89">
        <v>1292.46</v>
      </c>
      <c r="U19" s="408">
        <f>IF(RIGHT(T$12,2)&lt;=RIGHT(ANALISIS!$D$15,2),ROUND(T19*$D19,2),0)</f>
        <v>23936.36</v>
      </c>
      <c r="V19" s="160">
        <f t="shared" si="8"/>
        <v>4.5600000000000002E-2</v>
      </c>
      <c r="W19" s="89">
        <v>6514.21</v>
      </c>
      <c r="X19" s="408">
        <f>IF(RIGHT(W$12,2)&lt;=RIGHT(ANALISIS!$D$15,2),ROUND(W19*$D19,2),0)</f>
        <v>120643.17</v>
      </c>
      <c r="Y19" s="160">
        <f t="shared" si="9"/>
        <v>0.23</v>
      </c>
      <c r="Z19" s="91">
        <v>8644.2999999999993</v>
      </c>
      <c r="AA19" s="412">
        <f>IF(RIGHT(Z$12,2)&lt;=RIGHT(ANALISIS!$D$15,2),ROUND(Z19*$D19,2),0)</f>
        <v>160092.44</v>
      </c>
      <c r="AB19" s="160">
        <f t="shared" si="10"/>
        <v>0.30520000000000003</v>
      </c>
      <c r="AC19" s="91"/>
      <c r="AD19" s="412">
        <f>IF(RIGHT(AC$12,2)&lt;=RIGHT(ANALISIS!$D$15,2),ROUND(AC19*$D19,2),0)</f>
        <v>0</v>
      </c>
      <c r="AE19" s="160">
        <f t="shared" si="11"/>
        <v>0</v>
      </c>
      <c r="AF19" s="91"/>
      <c r="AG19" s="412">
        <f>IF(RIGHT(AF$12,2)&lt;=RIGHT(ANALISIS!$D$15,2),ROUND(AF19*$D19,2),0)</f>
        <v>0</v>
      </c>
      <c r="AH19" s="160">
        <f t="shared" si="12"/>
        <v>0</v>
      </c>
      <c r="AI19" s="91"/>
      <c r="AJ19" s="412">
        <f>IF(RIGHT(AI$12,2)&lt;=RIGHT(ANALISIS!$D$15,2),ROUND(AI19*$D19,2),0)</f>
        <v>0</v>
      </c>
      <c r="AK19" s="160">
        <f t="shared" si="13"/>
        <v>0</v>
      </c>
      <c r="AL19" s="91"/>
      <c r="AM19" s="412">
        <f>IF(RIGHT(AL$12,2)&lt;=RIGHT(ANALISIS!$D$15,2),ROUND(AL19*$D19,2),0)</f>
        <v>0</v>
      </c>
      <c r="AN19" s="160">
        <f t="shared" si="14"/>
        <v>0</v>
      </c>
      <c r="AO19" s="50">
        <f t="shared" si="2"/>
        <v>25190.32</v>
      </c>
      <c r="AP19" s="413">
        <f t="shared" si="15"/>
        <v>466524.73</v>
      </c>
      <c r="AQ19" s="364">
        <f t="shared" si="16"/>
        <v>0.89</v>
      </c>
      <c r="AR19" s="364">
        <f t="shared" si="17"/>
        <v>0.89</v>
      </c>
      <c r="AS19" s="28"/>
      <c r="AT19" s="411">
        <f t="shared" si="3"/>
        <v>58009.27</v>
      </c>
      <c r="AU19" s="58">
        <f t="shared" si="18"/>
        <v>0.11</v>
      </c>
      <c r="AX19" s="23">
        <f ca="1">IF(AP19&lt;&gt;INDIRECT("'"&amp;ANALISIS!$D$15&amp;"'!P"&amp;ROW()),1,0)</f>
        <v>0</v>
      </c>
    </row>
    <row r="20" spans="1:50" ht="18" customHeight="1">
      <c r="A20" s="54">
        <f>1+A19</f>
        <v>5</v>
      </c>
      <c r="B20" s="8" t="s">
        <v>23</v>
      </c>
      <c r="C20" s="27" t="s">
        <v>10</v>
      </c>
      <c r="D20" s="90">
        <v>57.61</v>
      </c>
      <c r="E20" s="90">
        <v>11436.25</v>
      </c>
      <c r="F20" s="284">
        <f t="shared" si="0"/>
        <v>658842.36</v>
      </c>
      <c r="G20" s="372">
        <v>-2950.25</v>
      </c>
      <c r="H20" s="373">
        <v>8486</v>
      </c>
      <c r="I20" s="373">
        <f t="shared" si="1"/>
        <v>488878.46</v>
      </c>
      <c r="J20" s="374">
        <f>G20/E20</f>
        <v>-0.25800000000000001</v>
      </c>
      <c r="K20" s="89">
        <v>4380.2</v>
      </c>
      <c r="L20" s="408">
        <f>IF(RIGHT(K$12,2)&lt;=RIGHT(ANALISIS!$D$15,2),ROUND(K20*$D20,2),0)</f>
        <v>252343.32</v>
      </c>
      <c r="M20" s="160">
        <f t="shared" si="5"/>
        <v>0.51619999999999999</v>
      </c>
      <c r="N20" s="89"/>
      <c r="O20" s="408">
        <f>IF(RIGHT(N$12,2)&lt;=RIGHT(ANALISIS!$D$15,2),ROUND(N20*$D20,2),0)</f>
        <v>0</v>
      </c>
      <c r="P20" s="160">
        <f t="shared" si="6"/>
        <v>0</v>
      </c>
      <c r="Q20" s="89"/>
      <c r="R20" s="408">
        <f>IF(RIGHT(Q$12,2)&lt;=RIGHT(ANALISIS!$D$15,2),ROUND(Q20*$D20,2),0)</f>
        <v>0</v>
      </c>
      <c r="S20" s="160">
        <f t="shared" si="7"/>
        <v>0</v>
      </c>
      <c r="T20" s="89"/>
      <c r="U20" s="408">
        <f>IF(RIGHT(T$12,2)&lt;=RIGHT(ANALISIS!$D$15,2),ROUND(T20*$D20,2),0)</f>
        <v>0</v>
      </c>
      <c r="V20" s="160">
        <f t="shared" si="8"/>
        <v>0</v>
      </c>
      <c r="W20" s="89"/>
      <c r="X20" s="408">
        <f>IF(RIGHT(W$12,2)&lt;=RIGHT(ANALISIS!$D$15,2),ROUND(W20*$D20,2),0)</f>
        <v>0</v>
      </c>
      <c r="Y20" s="160">
        <f t="shared" si="9"/>
        <v>0</v>
      </c>
      <c r="Z20" s="91"/>
      <c r="AA20" s="412">
        <f>IF(RIGHT(Z$12,2)&lt;=RIGHT(ANALISIS!$D$15,2),ROUND(Z20*$D20,2),0)</f>
        <v>0</v>
      </c>
      <c r="AB20" s="160">
        <f t="shared" si="10"/>
        <v>0</v>
      </c>
      <c r="AC20" s="91"/>
      <c r="AD20" s="412">
        <f>IF(RIGHT(AC$12,2)&lt;=RIGHT(ANALISIS!$D$15,2),ROUND(AC20*$D20,2),0)</f>
        <v>0</v>
      </c>
      <c r="AE20" s="160">
        <f t="shared" si="11"/>
        <v>0</v>
      </c>
      <c r="AF20" s="91"/>
      <c r="AG20" s="412">
        <f>IF(RIGHT(AF$12,2)&lt;=RIGHT(ANALISIS!$D$15,2),ROUND(AF20*$D20,2),0)</f>
        <v>0</v>
      </c>
      <c r="AH20" s="160">
        <f t="shared" si="12"/>
        <v>0</v>
      </c>
      <c r="AI20" s="91"/>
      <c r="AJ20" s="412">
        <f>IF(RIGHT(AI$12,2)&lt;=RIGHT(ANALISIS!$D$15,2),ROUND(AI20*$D20,2),0)</f>
        <v>0</v>
      </c>
      <c r="AK20" s="160">
        <f t="shared" si="13"/>
        <v>0</v>
      </c>
      <c r="AL20" s="91"/>
      <c r="AM20" s="412">
        <f>IF(RIGHT(AL$12,2)&lt;=RIGHT(ANALISIS!$D$15,2),ROUND(AL20*$D20,2),0)</f>
        <v>0</v>
      </c>
      <c r="AN20" s="160">
        <f t="shared" si="14"/>
        <v>0</v>
      </c>
      <c r="AO20" s="50">
        <f t="shared" si="2"/>
        <v>4380.2</v>
      </c>
      <c r="AP20" s="413">
        <f t="shared" si="15"/>
        <v>252343.32</v>
      </c>
      <c r="AQ20" s="364">
        <f t="shared" si="16"/>
        <v>0.52</v>
      </c>
      <c r="AR20" s="364">
        <f t="shared" si="17"/>
        <v>0.52</v>
      </c>
      <c r="AS20" s="28"/>
      <c r="AT20" s="411">
        <f t="shared" si="3"/>
        <v>236535.14</v>
      </c>
      <c r="AU20" s="58">
        <f t="shared" si="18"/>
        <v>0.48</v>
      </c>
      <c r="AX20" s="23">
        <f ca="1">IF(AP20&lt;&gt;INDIRECT("'"&amp;ANALISIS!$D$15&amp;"'!P"&amp;ROW()),1,0)</f>
        <v>0</v>
      </c>
    </row>
    <row r="21" spans="1:50" ht="18" customHeight="1">
      <c r="A21" s="52">
        <f>1+A20</f>
        <v>6</v>
      </c>
      <c r="B21" s="9" t="s">
        <v>24</v>
      </c>
      <c r="C21" s="29" t="s">
        <v>25</v>
      </c>
      <c r="D21" s="93">
        <v>4.8600000000000003</v>
      </c>
      <c r="E21" s="93">
        <v>40296</v>
      </c>
      <c r="F21" s="285">
        <f t="shared" si="0"/>
        <v>195838.56</v>
      </c>
      <c r="G21" s="375">
        <v>35000</v>
      </c>
      <c r="H21" s="376">
        <v>75296</v>
      </c>
      <c r="I21" s="376">
        <f t="shared" si="1"/>
        <v>365938.56</v>
      </c>
      <c r="J21" s="377">
        <f t="shared" si="4"/>
        <v>0.86860000000000004</v>
      </c>
      <c r="K21" s="92">
        <v>31875</v>
      </c>
      <c r="L21" s="415">
        <f>IF(RIGHT(K$12,2)&lt;=RIGHT(ANALISIS!$D$15,2),ROUND(K21*$D21,2),0)</f>
        <v>154912.5</v>
      </c>
      <c r="M21" s="161">
        <f t="shared" si="5"/>
        <v>0.42330000000000001</v>
      </c>
      <c r="N21" s="92"/>
      <c r="O21" s="415">
        <f>IF(RIGHT(N$12,2)&lt;=RIGHT(ANALISIS!$D$15,2),ROUND(N21*$D21,2),0)</f>
        <v>0</v>
      </c>
      <c r="P21" s="161">
        <f t="shared" si="6"/>
        <v>0</v>
      </c>
      <c r="Q21" s="92">
        <v>8070</v>
      </c>
      <c r="R21" s="415">
        <f>IF(RIGHT(Q$12,2)&lt;=RIGHT(ANALISIS!$D$15,2),ROUND(Q21*$D21,2),0)</f>
        <v>39220.199999999997</v>
      </c>
      <c r="S21" s="161">
        <f t="shared" si="7"/>
        <v>0.1072</v>
      </c>
      <c r="T21" s="89">
        <v>5175</v>
      </c>
      <c r="U21" s="408">
        <f>IF(RIGHT(T$12,2)&lt;=RIGHT(ANALISIS!$D$15,2),ROUND(T21*$D21,2),0)</f>
        <v>25150.5</v>
      </c>
      <c r="V21" s="161">
        <f t="shared" si="8"/>
        <v>6.8699999999999997E-2</v>
      </c>
      <c r="W21" s="89"/>
      <c r="X21" s="408">
        <f>IF(RIGHT(W$12,2)&lt;=RIGHT(ANALISIS!$D$15,2),ROUND(W21*$D21,2),0)</f>
        <v>0</v>
      </c>
      <c r="Y21" s="161">
        <f t="shared" si="9"/>
        <v>0</v>
      </c>
      <c r="Z21" s="94"/>
      <c r="AA21" s="417">
        <f>IF(RIGHT(Z$12,2)&lt;=RIGHT(ANALISIS!$D$15,2),ROUND(Z21*$D21,2),0)</f>
        <v>0</v>
      </c>
      <c r="AB21" s="161">
        <f t="shared" si="10"/>
        <v>0</v>
      </c>
      <c r="AC21" s="94">
        <v>29302.5</v>
      </c>
      <c r="AD21" s="417">
        <f>IF(RIGHT(AC$12,2)&lt;=RIGHT(ANALISIS!$D$15,2),ROUND(AC21*$D21,2),0)</f>
        <v>142410.15</v>
      </c>
      <c r="AE21" s="161">
        <f t="shared" si="11"/>
        <v>0.38919999999999999</v>
      </c>
      <c r="AF21" s="94"/>
      <c r="AG21" s="417">
        <f>IF(RIGHT(AF$12,2)&lt;=RIGHT(ANALISIS!$D$15,2),ROUND(AF21*$D21,2),0)</f>
        <v>0</v>
      </c>
      <c r="AH21" s="161">
        <f t="shared" si="12"/>
        <v>0</v>
      </c>
      <c r="AI21" s="94"/>
      <c r="AJ21" s="417">
        <f>IF(RIGHT(AI$12,2)&lt;=RIGHT(ANALISIS!$D$15,2),ROUND(AI21*$D21,2),0)</f>
        <v>0</v>
      </c>
      <c r="AK21" s="161">
        <f t="shared" si="13"/>
        <v>0</v>
      </c>
      <c r="AL21" s="94"/>
      <c r="AM21" s="417">
        <f>IF(RIGHT(AL$12,2)&lt;=RIGHT(ANALISIS!$D$15,2),ROUND(AL21*$D21,2),0)</f>
        <v>0</v>
      </c>
      <c r="AN21" s="161">
        <f t="shared" si="14"/>
        <v>0</v>
      </c>
      <c r="AO21" s="59">
        <f t="shared" si="2"/>
        <v>45120</v>
      </c>
      <c r="AP21" s="418">
        <f t="shared" si="15"/>
        <v>361693.35</v>
      </c>
      <c r="AQ21" s="164">
        <f t="shared" si="16"/>
        <v>0.6</v>
      </c>
      <c r="AR21" s="164">
        <f t="shared" si="17"/>
        <v>0.99</v>
      </c>
      <c r="AS21" s="28"/>
      <c r="AT21" s="416">
        <f t="shared" si="3"/>
        <v>4245.21</v>
      </c>
      <c r="AU21" s="60">
        <v>0</v>
      </c>
      <c r="AX21" s="23">
        <f ca="1">IF(AP21&lt;&gt;INDIRECT("'"&amp;ANALISIS!$D$15&amp;"'!P"&amp;ROW()),1,0)</f>
        <v>0</v>
      </c>
    </row>
    <row r="22" spans="1:50" ht="18" customHeight="1">
      <c r="A22" s="61"/>
      <c r="B22" s="68" t="s">
        <v>27</v>
      </c>
      <c r="C22" s="63"/>
      <c r="D22" s="66"/>
      <c r="E22" s="66"/>
      <c r="F22" s="69"/>
      <c r="G22" s="66"/>
      <c r="H22" s="69"/>
      <c r="I22" s="69"/>
      <c r="J22" s="71"/>
      <c r="K22" s="95"/>
      <c r="L22" s="419"/>
      <c r="M22" s="95"/>
      <c r="N22" s="95"/>
      <c r="O22" s="419"/>
      <c r="P22" s="95"/>
      <c r="Q22" s="95"/>
      <c r="R22" s="419"/>
      <c r="S22" s="95"/>
      <c r="T22" s="96"/>
      <c r="U22" s="419"/>
      <c r="V22" s="95"/>
      <c r="W22" s="96"/>
      <c r="X22" s="420"/>
      <c r="Y22" s="95"/>
      <c r="Z22" s="96"/>
      <c r="AA22" s="419"/>
      <c r="AB22" s="95"/>
      <c r="AC22" s="96"/>
      <c r="AD22" s="419"/>
      <c r="AE22" s="95"/>
      <c r="AF22" s="96"/>
      <c r="AG22" s="419"/>
      <c r="AH22" s="95"/>
      <c r="AI22" s="96"/>
      <c r="AJ22" s="419"/>
      <c r="AK22" s="95"/>
      <c r="AL22" s="96"/>
      <c r="AM22" s="419"/>
      <c r="AN22" s="95"/>
      <c r="AO22" s="79" t="s">
        <v>83</v>
      </c>
      <c r="AP22" s="421"/>
      <c r="AQ22" s="365"/>
      <c r="AR22" s="366"/>
      <c r="AS22" s="28"/>
      <c r="AT22" s="427"/>
      <c r="AU22" s="281"/>
      <c r="AX22" s="23">
        <f ca="1">IF(AP22&lt;&gt;INDIRECT("'"&amp;ANALISIS!$D$15&amp;"'!P"&amp;ROW()),1,0)</f>
        <v>0</v>
      </c>
    </row>
    <row r="23" spans="1:50" ht="18" customHeight="1">
      <c r="A23" s="53">
        <v>7</v>
      </c>
      <c r="B23" s="24" t="s">
        <v>28</v>
      </c>
      <c r="C23" s="25" t="s">
        <v>10</v>
      </c>
      <c r="D23" s="87">
        <v>61.39</v>
      </c>
      <c r="E23" s="87">
        <v>23213.09</v>
      </c>
      <c r="F23" s="283">
        <f>ROUND(D23*E23,2)</f>
        <v>1425051.6</v>
      </c>
      <c r="G23" s="369">
        <v>0</v>
      </c>
      <c r="H23" s="370">
        <v>23213.09</v>
      </c>
      <c r="I23" s="370">
        <f>ROUND(H23*D23,2)</f>
        <v>1425051.6</v>
      </c>
      <c r="J23" s="371">
        <f t="shared" si="4"/>
        <v>0</v>
      </c>
      <c r="K23" s="86">
        <v>6375</v>
      </c>
      <c r="L23" s="406">
        <f>IF(RIGHT(K$12,2)&lt;=RIGHT(ANALISIS!$D$15,2),ROUND(K23*$D23,2),0)</f>
        <v>391361.25</v>
      </c>
      <c r="M23" s="160">
        <f t="shared" ref="M23:M25" si="19">IFERROR(ROUND(L23/$I23,4),"")</f>
        <v>0.27460000000000001</v>
      </c>
      <c r="N23" s="86"/>
      <c r="O23" s="406">
        <f>IF(RIGHT(N$12,2)&lt;=RIGHT(ANALISIS!$D$15,2),ROUND(N23*$D23,2),0)</f>
        <v>0</v>
      </c>
      <c r="P23" s="160">
        <f t="shared" ref="P23:P25" si="20">IFERROR(ROUND(O23/$I23,4),"")</f>
        <v>0</v>
      </c>
      <c r="Q23" s="86">
        <v>1210.5</v>
      </c>
      <c r="R23" s="422">
        <f>IF(RIGHT(Q$12,2)&lt;=RIGHT(ANALISIS!$D$15,2),ROUND(Q23*$D23,2),0)</f>
        <v>74312.600000000006</v>
      </c>
      <c r="S23" s="160">
        <f t="shared" ref="S23:S25" si="21">IFERROR(ROUND(R23/$I23,4),"")</f>
        <v>5.21E-2</v>
      </c>
      <c r="T23" s="89">
        <v>776.25</v>
      </c>
      <c r="U23" s="414">
        <f>IF(RIGHT(T$12,2)&lt;=RIGHT(ANALISIS!$D$15,2),ROUND(T23*$D23,2),0)</f>
        <v>47653.99</v>
      </c>
      <c r="V23" s="160">
        <f t="shared" ref="V23:V25" si="22">IFERROR(ROUND(U23/$I23,4),"")</f>
        <v>3.3399999999999999E-2</v>
      </c>
      <c r="W23" s="89"/>
      <c r="X23" s="414">
        <f>IF(RIGHT(W$12,2)&lt;=RIGHT(ANALISIS!$D$15,2),ROUND(W23*$D23,2),0)</f>
        <v>0</v>
      </c>
      <c r="Y23" s="160">
        <f t="shared" ref="Y23:Y25" si="23">IFERROR(ROUND(X23/$I23,4),"")</f>
        <v>0</v>
      </c>
      <c r="Z23" s="88"/>
      <c r="AA23" s="408">
        <f>IF(RIGHT(Z$12,2)&lt;=RIGHT(ANALISIS!$D$15,2),ROUND(Z23*$D23,2),0)</f>
        <v>0</v>
      </c>
      <c r="AB23" s="160">
        <f t="shared" ref="AB23:AB25" si="24">IFERROR(ROUND(AA23/$I23,4),"")</f>
        <v>0</v>
      </c>
      <c r="AC23" s="88">
        <v>5857.5</v>
      </c>
      <c r="AD23" s="408">
        <f>IF(RIGHT(AC$12,2)&lt;=RIGHT(ANALISIS!$D$15,2),ROUND(AC23*$D23,2),0)</f>
        <v>359591.93</v>
      </c>
      <c r="AE23" s="160">
        <f t="shared" ref="AE23:AE25" si="25">IFERROR(ROUND(AD23/$I23,4),"")</f>
        <v>0.25230000000000002</v>
      </c>
      <c r="AF23" s="88"/>
      <c r="AG23" s="408">
        <f>IF(RIGHT(AF$12,2)&lt;=RIGHT(ANALISIS!$D$15,2),ROUND(AF23*$D23,2),0)</f>
        <v>0</v>
      </c>
      <c r="AH23" s="160">
        <f t="shared" ref="AH23:AH25" si="26">IFERROR(ROUND(AG23/$I23,4),"")</f>
        <v>0</v>
      </c>
      <c r="AI23" s="88"/>
      <c r="AJ23" s="408">
        <f>IF(RIGHT(AI$12,2)&lt;=RIGHT(ANALISIS!$D$15,2),ROUND(AI23*$D23,2),0)</f>
        <v>0</v>
      </c>
      <c r="AK23" s="160">
        <f>IFERROR(ROUND(AJ23/$I23,4),"")</f>
        <v>0</v>
      </c>
      <c r="AL23" s="88"/>
      <c r="AM23" s="408">
        <f>IF(RIGHT(AL$12,2)&lt;=RIGHT(ANALISIS!$D$15,2),ROUND(AL23*$D23,2),0)</f>
        <v>0</v>
      </c>
      <c r="AN23" s="160">
        <f t="shared" ref="AN23:AN25" si="27">IFERROR(ROUND(AM23/$I23,4),"")</f>
        <v>0</v>
      </c>
      <c r="AO23" s="56">
        <f t="shared" ref="AO23:AO25" si="28">K23+N23+Q23+T23+W23+Z23+AL23</f>
        <v>8361.75</v>
      </c>
      <c r="AP23" s="423">
        <f t="shared" si="15"/>
        <v>872919.77</v>
      </c>
      <c r="AQ23" s="363">
        <f t="shared" ref="AQ23:AQ24" si="29">IFERROR(ROUND(AO23/H23,4),"")</f>
        <v>0.36</v>
      </c>
      <c r="AR23" s="367">
        <f t="shared" ref="AR23:AR24" si="30">IFERROR(ROUND(AP23/I23,4),"")</f>
        <v>0.61</v>
      </c>
      <c r="AS23" s="28"/>
      <c r="AT23" s="407">
        <f t="shared" ref="AT23:AT24" si="31">I23-AP23</f>
        <v>552131.82999999996</v>
      </c>
      <c r="AU23" s="82">
        <f t="shared" ref="AU23:AU25" si="32">IFERROR(AT23/I23,"")</f>
        <v>0.39</v>
      </c>
      <c r="AX23" s="23">
        <f ca="1">IF(AP23&lt;&gt;INDIRECT("'"&amp;ANALISIS!$D$15&amp;"'!P"&amp;ROW()),1,0)</f>
        <v>0</v>
      </c>
    </row>
    <row r="24" spans="1:50" ht="18" customHeight="1">
      <c r="A24" s="54">
        <v>8</v>
      </c>
      <c r="B24" s="26" t="s">
        <v>29</v>
      </c>
      <c r="C24" s="27" t="s">
        <v>10</v>
      </c>
      <c r="D24" s="90">
        <v>18.55</v>
      </c>
      <c r="E24" s="90">
        <v>24098.81</v>
      </c>
      <c r="F24" s="284">
        <f>ROUND(D24*E24,2)</f>
        <v>447032.93</v>
      </c>
      <c r="G24" s="372">
        <v>0</v>
      </c>
      <c r="H24" s="373">
        <v>24098.81</v>
      </c>
      <c r="I24" s="373">
        <f>ROUND(H24*D24,2)</f>
        <v>447032.93</v>
      </c>
      <c r="J24" s="374">
        <f t="shared" si="4"/>
        <v>0</v>
      </c>
      <c r="K24" s="89">
        <v>6375</v>
      </c>
      <c r="L24" s="408">
        <f>IF(RIGHT(K$12,2)&lt;=RIGHT(ANALISIS!$D$15,2),ROUND(K24*$D24,2),0)</f>
        <v>118256.25</v>
      </c>
      <c r="M24" s="160">
        <f t="shared" si="19"/>
        <v>0.26450000000000001</v>
      </c>
      <c r="N24" s="89"/>
      <c r="O24" s="408">
        <f>IF(RIGHT(N$12,2)&lt;=RIGHT(ANALISIS!$D$15,2),ROUND(N24*$D24,2),0)</f>
        <v>0</v>
      </c>
      <c r="P24" s="160">
        <f t="shared" si="20"/>
        <v>0</v>
      </c>
      <c r="Q24" s="89">
        <v>1210.5</v>
      </c>
      <c r="R24" s="414">
        <f>IF(RIGHT(Q$12,2)&lt;=RIGHT(ANALISIS!$D$15,2),ROUND(Q24*$D24,2),0)</f>
        <v>22454.78</v>
      </c>
      <c r="S24" s="160">
        <f t="shared" si="21"/>
        <v>5.0200000000000002E-2</v>
      </c>
      <c r="T24" s="89">
        <v>776.25</v>
      </c>
      <c r="U24" s="414">
        <f>IF(RIGHT(T$12,2)&lt;=RIGHT(ANALISIS!$D$15,2),ROUND(T24*$D24,2),0)</f>
        <v>14399.44</v>
      </c>
      <c r="V24" s="160">
        <f t="shared" si="22"/>
        <v>3.2199999999999999E-2</v>
      </c>
      <c r="W24" s="89"/>
      <c r="X24" s="414">
        <f>IF(RIGHT(W$12,2)&lt;=RIGHT(ANALISIS!$D$15,2),ROUND(W24*$D24,2),0)</f>
        <v>0</v>
      </c>
      <c r="Y24" s="160">
        <f t="shared" si="23"/>
        <v>0</v>
      </c>
      <c r="Z24" s="91"/>
      <c r="AA24" s="408">
        <f>IF(RIGHT(Z$12,2)&lt;=RIGHT(ANALISIS!$D$15,2),ROUND(Z24*$D24,2),0)</f>
        <v>0</v>
      </c>
      <c r="AB24" s="160">
        <f t="shared" si="24"/>
        <v>0</v>
      </c>
      <c r="AC24" s="91">
        <v>5857.5</v>
      </c>
      <c r="AD24" s="408">
        <f>IF(RIGHT(AC$12,2)&lt;=RIGHT(ANALISIS!$D$15,2),ROUND(AC24*$D24,2),0)</f>
        <v>108656.63</v>
      </c>
      <c r="AE24" s="160">
        <f t="shared" si="25"/>
        <v>0.24310000000000001</v>
      </c>
      <c r="AF24" s="91"/>
      <c r="AG24" s="408">
        <f>IF(RIGHT(AF$12,2)&lt;=RIGHT(ANALISIS!$D$15,2),ROUND(AF24*$D24,2),0)</f>
        <v>0</v>
      </c>
      <c r="AH24" s="160">
        <f t="shared" si="26"/>
        <v>0</v>
      </c>
      <c r="AI24" s="91"/>
      <c r="AJ24" s="408">
        <f>IF(RIGHT(AI$12,2)&lt;=RIGHT(ANALISIS!$D$15,2),ROUND(AI24*$D24,2),0)</f>
        <v>0</v>
      </c>
      <c r="AK24" s="160">
        <f t="shared" ref="AK24:AK25" si="33">IFERROR(ROUND(AJ24/$I24,4),"")</f>
        <v>0</v>
      </c>
      <c r="AL24" s="91"/>
      <c r="AM24" s="408">
        <f>IF(RIGHT(AL$12,2)&lt;=RIGHT(ANALISIS!$D$15,2),ROUND(AL24*$D24,2),0)</f>
        <v>0</v>
      </c>
      <c r="AN24" s="160">
        <f t="shared" si="27"/>
        <v>0</v>
      </c>
      <c r="AO24" s="50">
        <f t="shared" si="28"/>
        <v>8361.75</v>
      </c>
      <c r="AP24" s="412">
        <f t="shared" si="15"/>
        <v>263767.09999999998</v>
      </c>
      <c r="AQ24" s="364">
        <f t="shared" si="29"/>
        <v>0.35</v>
      </c>
      <c r="AR24" s="368">
        <f t="shared" si="30"/>
        <v>0.59</v>
      </c>
      <c r="AS24" s="28"/>
      <c r="AT24" s="411">
        <f t="shared" si="31"/>
        <v>183265.83</v>
      </c>
      <c r="AU24" s="84">
        <f t="shared" si="32"/>
        <v>0.41</v>
      </c>
      <c r="AX24" s="23">
        <f ca="1">IF(AP24&lt;&gt;INDIRECT("'"&amp;ANALISIS!$D$15&amp;"'!P"&amp;ROW()),1,0)</f>
        <v>0</v>
      </c>
    </row>
    <row r="25" spans="1:50" ht="18" customHeight="1">
      <c r="A25" s="52">
        <v>9</v>
      </c>
      <c r="B25" s="32" t="s">
        <v>30</v>
      </c>
      <c r="C25" s="29" t="s">
        <v>18</v>
      </c>
      <c r="D25" s="286">
        <v>44453.32</v>
      </c>
      <c r="E25" s="287">
        <v>0.4</v>
      </c>
      <c r="F25" s="284">
        <f>ROUND(D25*E25,2)</f>
        <v>17781.330000000002</v>
      </c>
      <c r="G25" s="375">
        <v>0</v>
      </c>
      <c r="H25" s="378">
        <v>0.4</v>
      </c>
      <c r="I25" s="376">
        <f>ROUND(H25*D25,2)</f>
        <v>17781.330000000002</v>
      </c>
      <c r="J25" s="377">
        <f t="shared" si="4"/>
        <v>0</v>
      </c>
      <c r="K25" s="92">
        <v>13335</v>
      </c>
      <c r="L25" s="424">
        <f>IF(RIGHT(K$12,2)&lt;=RIGHT(ANALISIS!$D$15,2),ROUND(K25*$E25,2),0)</f>
        <v>5334</v>
      </c>
      <c r="M25" s="160">
        <f t="shared" si="19"/>
        <v>0.3</v>
      </c>
      <c r="N25" s="92"/>
      <c r="O25" s="425">
        <f>IF(RIGHT(N$12,2)&lt;=RIGHT(ANALISIS!$D$15,2),ROUND(N25*$D25,2),0)</f>
        <v>0</v>
      </c>
      <c r="P25" s="160">
        <f t="shared" si="20"/>
        <v>0</v>
      </c>
      <c r="Q25" s="92">
        <v>0.1</v>
      </c>
      <c r="R25" s="425">
        <f>IF(RIGHT(Q$12,2)&lt;=RIGHT(ANALISIS!$D$15,2),ROUND(Q25*$D25,2),0)</f>
        <v>4445.33</v>
      </c>
      <c r="S25" s="160">
        <f t="shared" si="21"/>
        <v>0.25</v>
      </c>
      <c r="T25" s="89">
        <v>0.01</v>
      </c>
      <c r="U25" s="414">
        <f>IF(RIGHT(T$12,2)&lt;=RIGHT(ANALISIS!$D$15,2),ROUND(T25*$D25,2),0)</f>
        <v>444.53</v>
      </c>
      <c r="V25" s="160">
        <f t="shared" si="22"/>
        <v>2.5000000000000001E-2</v>
      </c>
      <c r="W25" s="89"/>
      <c r="X25" s="414">
        <f>IF(RIGHT(W$12,2)&lt;=RIGHT(ANALISIS!$D$15,2),ROUND(W25*$D25,2),0)</f>
        <v>0</v>
      </c>
      <c r="Y25" s="160">
        <f t="shared" si="23"/>
        <v>0</v>
      </c>
      <c r="Z25" s="94"/>
      <c r="AA25" s="408">
        <f>IF(RIGHT(Z$12,2)&lt;=RIGHT(ANALISIS!$D$15,2),ROUND(Z25*$D25,2),0)</f>
        <v>0</v>
      </c>
      <c r="AB25" s="160">
        <f t="shared" si="24"/>
        <v>0</v>
      </c>
      <c r="AC25" s="94">
        <v>0.1</v>
      </c>
      <c r="AD25" s="408">
        <f>IF(RIGHT(AC$12,2)&lt;=RIGHT(ANALISIS!$D$15,2),ROUND(AC25*$D25,2),0)</f>
        <v>4445.33</v>
      </c>
      <c r="AE25" s="160">
        <f t="shared" si="25"/>
        <v>0.25</v>
      </c>
      <c r="AF25" s="94"/>
      <c r="AG25" s="408">
        <f>IF(RIGHT(AF$12,2)&lt;=RIGHT(ANALISIS!$D$15,2),ROUND(AF25*$D25,2),0)</f>
        <v>0</v>
      </c>
      <c r="AH25" s="160">
        <f t="shared" si="26"/>
        <v>0</v>
      </c>
      <c r="AI25" s="94"/>
      <c r="AJ25" s="408">
        <f>IF(RIGHT(AI$12,2)&lt;=RIGHT(ANALISIS!$D$15,2),ROUND(AI25*$D25,2),0)</f>
        <v>0</v>
      </c>
      <c r="AK25" s="160">
        <f t="shared" si="33"/>
        <v>0</v>
      </c>
      <c r="AL25" s="94"/>
      <c r="AM25" s="408">
        <f>IF(RIGHT(AL$12,2)&lt;=RIGHT(ANALISIS!$D$15,2),ROUND(AL25*$D25,2),0)</f>
        <v>0</v>
      </c>
      <c r="AN25" s="160">
        <f t="shared" si="27"/>
        <v>0</v>
      </c>
      <c r="AO25" s="59">
        <f t="shared" si="28"/>
        <v>13335.11</v>
      </c>
      <c r="AP25" s="418">
        <f t="shared" si="15"/>
        <v>14669.19</v>
      </c>
      <c r="AQ25" s="164">
        <f>IFERROR(ROUND(AO25/D25,4),"")</f>
        <v>0.3</v>
      </c>
      <c r="AR25" s="164">
        <f>IFERROR(ROUND(AP25/I25,4),"")</f>
        <v>0.83</v>
      </c>
      <c r="AS25" s="163"/>
      <c r="AT25" s="416">
        <f>I25-AP25</f>
        <v>3112.14</v>
      </c>
      <c r="AU25" s="60">
        <f t="shared" si="32"/>
        <v>0.18</v>
      </c>
      <c r="AX25" s="23">
        <f ca="1">IF(AP25&lt;&gt;INDIRECT("'"&amp;ANALISIS!$D$15&amp;"'!P"&amp;ROW()),1,0)</f>
        <v>0</v>
      </c>
    </row>
    <row r="26" spans="1:50" ht="18" customHeight="1">
      <c r="A26" s="61"/>
      <c r="B26" s="62" t="s">
        <v>31</v>
      </c>
      <c r="C26" s="63"/>
      <c r="D26" s="106"/>
      <c r="E26" s="106"/>
      <c r="F26" s="69"/>
      <c r="G26" s="66"/>
      <c r="H26" s="69"/>
      <c r="I26" s="69"/>
      <c r="J26" s="72"/>
      <c r="K26" s="95"/>
      <c r="L26" s="419"/>
      <c r="M26" s="95"/>
      <c r="N26" s="95"/>
      <c r="O26" s="420"/>
      <c r="P26" s="95"/>
      <c r="Q26" s="95"/>
      <c r="R26" s="419"/>
      <c r="S26" s="95"/>
      <c r="T26" s="96"/>
      <c r="U26" s="419"/>
      <c r="V26" s="95"/>
      <c r="W26" s="96"/>
      <c r="X26" s="419"/>
      <c r="Y26" s="95"/>
      <c r="Z26" s="96"/>
      <c r="AA26" s="419"/>
      <c r="AB26" s="95"/>
      <c r="AC26" s="96"/>
      <c r="AD26" s="419"/>
      <c r="AE26" s="95"/>
      <c r="AF26" s="96"/>
      <c r="AG26" s="419"/>
      <c r="AH26" s="95"/>
      <c r="AI26" s="96"/>
      <c r="AJ26" s="419"/>
      <c r="AK26" s="95"/>
      <c r="AL26" s="96"/>
      <c r="AM26" s="419"/>
      <c r="AN26" s="95"/>
      <c r="AO26" s="79"/>
      <c r="AP26" s="421"/>
      <c r="AQ26" s="365"/>
      <c r="AR26" s="366"/>
      <c r="AS26" s="28"/>
      <c r="AT26" s="427"/>
      <c r="AU26" s="281"/>
      <c r="AX26" s="23">
        <f ca="1">IF(AP26&lt;&gt;INDIRECT("'"&amp;ANALISIS!$D$15&amp;"'!P"&amp;ROW()),1,0)</f>
        <v>0</v>
      </c>
    </row>
    <row r="27" spans="1:50" ht="18" customHeight="1">
      <c r="A27" s="53">
        <v>10</v>
      </c>
      <c r="B27" s="26" t="s">
        <v>32</v>
      </c>
      <c r="C27" s="27" t="s">
        <v>18</v>
      </c>
      <c r="D27" s="286">
        <v>3848.37</v>
      </c>
      <c r="E27" s="286">
        <v>0.2</v>
      </c>
      <c r="F27" s="284">
        <f t="shared" ref="F27:F40" si="34">ROUND(D27*E27,2)</f>
        <v>769.67</v>
      </c>
      <c r="G27" s="369">
        <v>0</v>
      </c>
      <c r="H27" s="379">
        <v>0.2</v>
      </c>
      <c r="I27" s="370">
        <f>ROUND(H27*D27,2)</f>
        <v>769.67</v>
      </c>
      <c r="J27" s="371">
        <f t="shared" ref="J27:J40" si="35">G27/E27</f>
        <v>0</v>
      </c>
      <c r="K27" s="86">
        <v>3848.37</v>
      </c>
      <c r="L27" s="426">
        <f>IF(RIGHT(K$12,2)&lt;=RIGHT(ANALISIS!$D$15,2),ROUND(K27*$E27,2),0)</f>
        <v>769.67</v>
      </c>
      <c r="M27" s="160">
        <f t="shared" ref="M27:M40" si="36">IFERROR(ROUND(L27/$I27,4),"")</f>
        <v>1</v>
      </c>
      <c r="N27" s="86"/>
      <c r="O27" s="422">
        <f>IF(RIGHT(N$12,2)&lt;=RIGHT(ANALISIS!$D$15,2),ROUND(N27*$D27,2),0)</f>
        <v>0</v>
      </c>
      <c r="P27" s="160">
        <f t="shared" ref="P27:P40" si="37">IFERROR(ROUND(O27/$I27,4),"")</f>
        <v>0</v>
      </c>
      <c r="Q27" s="86"/>
      <c r="R27" s="406">
        <f>IF(RIGHT(Q$12,2)&lt;=RIGHT(ANALISIS!$D$15,2),ROUND(Q27*$D27,2),0)</f>
        <v>0</v>
      </c>
      <c r="S27" s="160">
        <f t="shared" ref="S27:S40" si="38">IFERROR(ROUND(R27/$I27,4),"")</f>
        <v>0</v>
      </c>
      <c r="T27" s="89"/>
      <c r="U27" s="408">
        <f>IF(RIGHT(T$12,2)&lt;=RIGHT(ANALISIS!$D$15,2),ROUND(T27*$D27,2),0)</f>
        <v>0</v>
      </c>
      <c r="V27" s="160">
        <f t="shared" ref="V27:V40" si="39">IFERROR(ROUND(U27/$I27,4),"")</f>
        <v>0</v>
      </c>
      <c r="W27" s="89"/>
      <c r="X27" s="414">
        <f>IF(RIGHT(W$12,2)&lt;=RIGHT(ANALISIS!$D$15,2),ROUND(W27*$D27,2),0)</f>
        <v>0</v>
      </c>
      <c r="Y27" s="160">
        <f t="shared" ref="Y27:Y40" si="40">IFERROR(ROUND(X27/$I27,4),"")</f>
        <v>0</v>
      </c>
      <c r="Z27" s="88"/>
      <c r="AA27" s="423">
        <f>IF(RIGHT(Z$12,2)&lt;=RIGHT(ANALISIS!$D$15,2),ROUND(Z27*$D27,2),0)</f>
        <v>0</v>
      </c>
      <c r="AB27" s="160">
        <f t="shared" ref="AB27:AB40" si="41">IFERROR(ROUND(AA27/$I27,4),"")</f>
        <v>0</v>
      </c>
      <c r="AC27" s="88"/>
      <c r="AD27" s="423">
        <f>IF(RIGHT(AC$12,2)&lt;=RIGHT(ANALISIS!$D$15,2),ROUND(AC27*$D27,2),0)</f>
        <v>0</v>
      </c>
      <c r="AE27" s="160">
        <f t="shared" ref="AE27:AE40" si="42">IFERROR(ROUND(AD27/$I27,4),"")</f>
        <v>0</v>
      </c>
      <c r="AF27" s="88"/>
      <c r="AG27" s="423">
        <f>IF(RIGHT(AF$12,2)&lt;=RIGHT(ANALISIS!$D$15,2),ROUND(AF27*$D27,2),0)</f>
        <v>0</v>
      </c>
      <c r="AH27" s="160">
        <f t="shared" ref="AH27:AH40" si="43">IFERROR(ROUND(AG27/$I27,4),"")</f>
        <v>0</v>
      </c>
      <c r="AI27" s="88"/>
      <c r="AJ27" s="423">
        <f>IF(RIGHT(AI$12,2)&lt;=RIGHT(ANALISIS!$D$15,2),ROUND(AI27*$D27,2),0)</f>
        <v>0</v>
      </c>
      <c r="AK27" s="160">
        <f t="shared" ref="AK27:AK40" si="44">IFERROR(ROUND(AJ27/$I27,4),"")</f>
        <v>0</v>
      </c>
      <c r="AL27" s="88"/>
      <c r="AM27" s="423">
        <f>IF(RIGHT(AL$12,2)&lt;=RIGHT(ANALISIS!$D$15,2),ROUND(AL27*$D27,2),0)</f>
        <v>0</v>
      </c>
      <c r="AN27" s="160">
        <f t="shared" ref="AN27:AN40" si="45">IFERROR(ROUND(AM27/$I27,4),"")</f>
        <v>0</v>
      </c>
      <c r="AO27" s="56">
        <f t="shared" ref="AO27:AO40" si="46">K27+N27+Q27+T27+W27+Z27+AL27</f>
        <v>3848.37</v>
      </c>
      <c r="AP27" s="410">
        <f t="shared" si="15"/>
        <v>769.67</v>
      </c>
      <c r="AQ27" s="363">
        <f>IFERROR(AO27/D27,"")</f>
        <v>1</v>
      </c>
      <c r="AR27" s="363">
        <f>IFERROR(ROUND(AP27/I27,4),"")</f>
        <v>1</v>
      </c>
      <c r="AS27" s="28"/>
      <c r="AT27" s="407">
        <f t="shared" ref="AT27:AT81" si="47">I27-AP27</f>
        <v>0</v>
      </c>
      <c r="AU27" s="57">
        <f t="shared" ref="AU27:AU40" si="48">IFERROR(AT27/I27,"")</f>
        <v>0</v>
      </c>
      <c r="AX27" s="23">
        <f ca="1">IF(AP27&lt;&gt;INDIRECT("'"&amp;ANALISIS!$D$15&amp;"'!P"&amp;ROW()),1,0)</f>
        <v>0</v>
      </c>
    </row>
    <row r="28" spans="1:50" ht="18" customHeight="1">
      <c r="A28" s="54">
        <f>1+A27</f>
        <v>11</v>
      </c>
      <c r="B28" s="26" t="s">
        <v>33</v>
      </c>
      <c r="C28" s="27" t="s">
        <v>10</v>
      </c>
      <c r="D28" s="90">
        <v>27.03</v>
      </c>
      <c r="E28" s="90">
        <v>7899.85</v>
      </c>
      <c r="F28" s="284">
        <f t="shared" si="34"/>
        <v>213532.95</v>
      </c>
      <c r="G28" s="372">
        <v>0</v>
      </c>
      <c r="H28" s="373">
        <v>7899.85</v>
      </c>
      <c r="I28" s="373">
        <f t="shared" ref="I28:I40" si="49">ROUND(H28*D28,2)</f>
        <v>213532.95</v>
      </c>
      <c r="J28" s="374">
        <f t="shared" si="35"/>
        <v>0</v>
      </c>
      <c r="K28" s="97">
        <v>328.12</v>
      </c>
      <c r="L28" s="408">
        <f>IF(RIGHT(K$12,2)&lt;=RIGHT(ANALISIS!$D$15,2),ROUND(K28*$D28,2),0)</f>
        <v>8869.08</v>
      </c>
      <c r="M28" s="160">
        <f t="shared" si="36"/>
        <v>4.1500000000000002E-2</v>
      </c>
      <c r="N28" s="97">
        <v>654.77</v>
      </c>
      <c r="O28" s="414">
        <f>IF(RIGHT(N$12,2)&lt;=RIGHT(ANALISIS!$D$15,2),ROUND(N28*$D28,2),0)</f>
        <v>17698.43</v>
      </c>
      <c r="P28" s="160">
        <f t="shared" si="37"/>
        <v>8.2900000000000001E-2</v>
      </c>
      <c r="Q28" s="97">
        <v>870.27</v>
      </c>
      <c r="R28" s="408">
        <f>IF(RIGHT(Q$12,2)&lt;=RIGHT(ANALISIS!$D$15,2),ROUND(Q28*$D28,2),0)</f>
        <v>23523.4</v>
      </c>
      <c r="S28" s="160">
        <f t="shared" si="38"/>
        <v>0.11020000000000001</v>
      </c>
      <c r="T28" s="89">
        <v>720.84</v>
      </c>
      <c r="U28" s="414">
        <f>IF(RIGHT(T$12,2)&lt;=RIGHT(ANALISIS!$D$15,2),ROUND(T28*$D28,2),0)</f>
        <v>19484.310000000001</v>
      </c>
      <c r="V28" s="160">
        <f t="shared" si="39"/>
        <v>9.1200000000000003E-2</v>
      </c>
      <c r="W28" s="89">
        <v>299</v>
      </c>
      <c r="X28" s="414">
        <f>IF(RIGHT(W$12,2)&lt;=RIGHT(ANALISIS!$D$15,2),ROUND(W28*$D28,2),0)</f>
        <v>8081.97</v>
      </c>
      <c r="Y28" s="160">
        <f t="shared" si="40"/>
        <v>3.78E-2</v>
      </c>
      <c r="Z28" s="97">
        <v>1513.61</v>
      </c>
      <c r="AA28" s="412">
        <f>IF(RIGHT(Z$12,2)&lt;=RIGHT(ANALISIS!$D$15,2),ROUND(Z28*$D28,2),0)</f>
        <v>40912.879999999997</v>
      </c>
      <c r="AB28" s="160">
        <f t="shared" si="41"/>
        <v>0.19159999999999999</v>
      </c>
      <c r="AC28" s="97">
        <v>131.85</v>
      </c>
      <c r="AD28" s="412">
        <f>IF(RIGHT(AC$12,2)&lt;=RIGHT(ANALISIS!$D$15,2),ROUND(AC28*$D28,2),0)</f>
        <v>3563.91</v>
      </c>
      <c r="AE28" s="160">
        <f t="shared" si="42"/>
        <v>1.67E-2</v>
      </c>
      <c r="AF28" s="97"/>
      <c r="AG28" s="412">
        <f>IF(RIGHT(AF$12,2)&lt;=RIGHT(ANALISIS!$D$15,2),ROUND(AF28*$D28,2),0)</f>
        <v>0</v>
      </c>
      <c r="AH28" s="160">
        <f t="shared" si="43"/>
        <v>0</v>
      </c>
      <c r="AI28" s="97"/>
      <c r="AJ28" s="412">
        <f>IF(RIGHT(AI$12,2)&lt;=RIGHT(ANALISIS!$D$15,2),ROUND(AI28*$D28,2),0)</f>
        <v>0</v>
      </c>
      <c r="AK28" s="160">
        <f t="shared" si="44"/>
        <v>0</v>
      </c>
      <c r="AL28" s="97"/>
      <c r="AM28" s="412">
        <f>IF(RIGHT(AL$12,2)&lt;=RIGHT(ANALISIS!$D$15,2),ROUND(AL28*$D28,2),0)</f>
        <v>0</v>
      </c>
      <c r="AN28" s="160">
        <f t="shared" si="45"/>
        <v>0</v>
      </c>
      <c r="AO28" s="50">
        <f t="shared" si="46"/>
        <v>4386.6099999999997</v>
      </c>
      <c r="AP28" s="413">
        <f t="shared" si="15"/>
        <v>122133.98</v>
      </c>
      <c r="AQ28" s="364">
        <f t="shared" ref="AQ28:AQ40" si="50">IFERROR(ROUND(AO28/H28,4),"")</f>
        <v>0.56000000000000005</v>
      </c>
      <c r="AR28" s="364">
        <f t="shared" ref="AR28:AR40" si="51">IFERROR(ROUND(AP28/I28,4),"")</f>
        <v>0.56999999999999995</v>
      </c>
      <c r="AT28" s="411">
        <f t="shared" si="47"/>
        <v>91398.97</v>
      </c>
      <c r="AU28" s="58">
        <f t="shared" si="48"/>
        <v>0.43</v>
      </c>
      <c r="AX28" s="23">
        <f ca="1">IF(AP28&lt;&gt;INDIRECT("'"&amp;ANALISIS!$D$15&amp;"'!P"&amp;ROW()),1,0)</f>
        <v>0</v>
      </c>
    </row>
    <row r="29" spans="1:50" ht="18" customHeight="1">
      <c r="A29" s="54">
        <f t="shared" ref="A29:A40" si="52">1+A28</f>
        <v>12</v>
      </c>
      <c r="B29" s="26" t="s">
        <v>34</v>
      </c>
      <c r="C29" s="27" t="s">
        <v>10</v>
      </c>
      <c r="D29" s="90">
        <v>652.63</v>
      </c>
      <c r="E29" s="90">
        <v>1522.75</v>
      </c>
      <c r="F29" s="284">
        <f t="shared" si="34"/>
        <v>993792.33</v>
      </c>
      <c r="G29" s="372">
        <v>3076.2</v>
      </c>
      <c r="H29" s="373">
        <v>4598.95</v>
      </c>
      <c r="I29" s="373">
        <f t="shared" si="49"/>
        <v>3001412.74</v>
      </c>
      <c r="J29" s="374">
        <f t="shared" si="35"/>
        <v>2.0202</v>
      </c>
      <c r="K29" s="97">
        <v>269.23</v>
      </c>
      <c r="L29" s="408">
        <f>IF(RIGHT(K$12,2)&lt;=RIGHT(ANALISIS!$D$15,2),ROUND(K29*$D29,2),0)</f>
        <v>175707.57</v>
      </c>
      <c r="M29" s="160">
        <f t="shared" si="36"/>
        <v>5.8500000000000003E-2</v>
      </c>
      <c r="N29" s="97">
        <v>335.13</v>
      </c>
      <c r="O29" s="414">
        <f>IF(RIGHT(N$12,2)&lt;=RIGHT(ANALISIS!$D$15,2),ROUND(N29*$D29,2),0)</f>
        <v>218715.89</v>
      </c>
      <c r="P29" s="160">
        <f t="shared" si="37"/>
        <v>7.2900000000000006E-2</v>
      </c>
      <c r="Q29" s="97">
        <v>803.48</v>
      </c>
      <c r="R29" s="414">
        <f>IF(RIGHT(Q$12,2)&lt;=RIGHT(ANALISIS!$D$15,2),ROUND(Q29*$D29,2),0)</f>
        <v>524375.15</v>
      </c>
      <c r="S29" s="160">
        <f t="shared" si="38"/>
        <v>0.17469999999999999</v>
      </c>
      <c r="T29" s="89">
        <v>673.25</v>
      </c>
      <c r="U29" s="414">
        <f>IF(RIGHT(T$12,2)&lt;=RIGHT(ANALISIS!$D$15,2),ROUND(T29*$D29,2),0)</f>
        <v>439383.15</v>
      </c>
      <c r="V29" s="160">
        <f t="shared" si="39"/>
        <v>0.1464</v>
      </c>
      <c r="W29" s="89">
        <v>796.52</v>
      </c>
      <c r="X29" s="414">
        <f>IF(RIGHT(W$12,2)&lt;=RIGHT(ANALISIS!$D$15,2),ROUND(W29*$D29,2),0)</f>
        <v>519832.85</v>
      </c>
      <c r="Y29" s="160">
        <f t="shared" si="40"/>
        <v>0.17319999999999999</v>
      </c>
      <c r="Z29" s="97">
        <v>1149.1500000000001</v>
      </c>
      <c r="AA29" s="412">
        <f>IF(RIGHT(Z$12,2)&lt;=RIGHT(ANALISIS!$D$15,2),ROUND(Z29*$D29,2),0)</f>
        <v>749969.76</v>
      </c>
      <c r="AB29" s="160">
        <f t="shared" si="41"/>
        <v>0.24990000000000001</v>
      </c>
      <c r="AC29" s="97"/>
      <c r="AD29" s="412">
        <f>IF(RIGHT(AC$12,2)&lt;=RIGHT(ANALISIS!$D$15,2),ROUND(AC29*$D29,2),0)</f>
        <v>0</v>
      </c>
      <c r="AE29" s="160">
        <f t="shared" si="42"/>
        <v>0</v>
      </c>
      <c r="AF29" s="97"/>
      <c r="AG29" s="412">
        <f>IF(RIGHT(AF$12,2)&lt;=RIGHT(ANALISIS!$D$15,2),ROUND(AF29*$D29,2),0)</f>
        <v>0</v>
      </c>
      <c r="AH29" s="160">
        <f t="shared" si="43"/>
        <v>0</v>
      </c>
      <c r="AI29" s="97"/>
      <c r="AJ29" s="412">
        <f>IF(RIGHT(AI$12,2)&lt;=RIGHT(ANALISIS!$D$15,2),ROUND(AI29*$D29,2),0)</f>
        <v>0</v>
      </c>
      <c r="AK29" s="160">
        <f t="shared" si="44"/>
        <v>0</v>
      </c>
      <c r="AL29" s="97"/>
      <c r="AM29" s="412">
        <f>IF(RIGHT(AL$12,2)&lt;=RIGHT(ANALISIS!$D$15,2),ROUND(AL29*$D29,2),0)</f>
        <v>0</v>
      </c>
      <c r="AN29" s="160">
        <f t="shared" si="45"/>
        <v>0</v>
      </c>
      <c r="AO29" s="50">
        <f t="shared" si="46"/>
        <v>4026.76</v>
      </c>
      <c r="AP29" s="413">
        <f t="shared" si="15"/>
        <v>2627984.37</v>
      </c>
      <c r="AQ29" s="364">
        <f t="shared" si="50"/>
        <v>0.88</v>
      </c>
      <c r="AR29" s="364">
        <f t="shared" si="51"/>
        <v>0.88</v>
      </c>
      <c r="AT29" s="411">
        <f t="shared" si="47"/>
        <v>373428.37</v>
      </c>
      <c r="AU29" s="58">
        <f t="shared" si="48"/>
        <v>0.12</v>
      </c>
      <c r="AX29" s="23">
        <f ca="1">IF(AP29&lt;&gt;INDIRECT("'"&amp;ANALISIS!$D$15&amp;"'!P"&amp;ROW()),1,0)</f>
        <v>0</v>
      </c>
    </row>
    <row r="30" spans="1:50" ht="18" customHeight="1">
      <c r="A30" s="54">
        <f t="shared" si="52"/>
        <v>13</v>
      </c>
      <c r="B30" s="26" t="s">
        <v>35</v>
      </c>
      <c r="C30" s="27" t="s">
        <v>10</v>
      </c>
      <c r="D30" s="90">
        <v>1801.53</v>
      </c>
      <c r="E30" s="90">
        <v>837.96</v>
      </c>
      <c r="F30" s="284">
        <f t="shared" si="34"/>
        <v>1509610.08</v>
      </c>
      <c r="G30" s="372">
        <v>-236.8</v>
      </c>
      <c r="H30" s="373">
        <v>601.16</v>
      </c>
      <c r="I30" s="373">
        <f t="shared" si="49"/>
        <v>1083007.77</v>
      </c>
      <c r="J30" s="374">
        <f t="shared" si="35"/>
        <v>-0.28260000000000002</v>
      </c>
      <c r="K30" s="97"/>
      <c r="L30" s="412">
        <f>IF(RIGHT(K$12,2)&lt;=RIGHT(ANALISIS!$D$15,2),ROUND(K30*$D30,2),0)</f>
        <v>0</v>
      </c>
      <c r="M30" s="160">
        <f t="shared" si="36"/>
        <v>0</v>
      </c>
      <c r="N30" s="97"/>
      <c r="O30" s="408">
        <f>IF(RIGHT(N$12,2)&lt;=RIGHT(ANALISIS!$D$15,2),ROUND(N30*$D30,2),0)</f>
        <v>0</v>
      </c>
      <c r="P30" s="160">
        <f t="shared" si="37"/>
        <v>0</v>
      </c>
      <c r="Q30" s="97">
        <v>7.64</v>
      </c>
      <c r="R30" s="408">
        <f>IF(RIGHT(Q$12,2)&lt;=RIGHT(ANALISIS!$D$15,2),ROUND(Q30*$D30,2),0)</f>
        <v>13763.69</v>
      </c>
      <c r="S30" s="160">
        <f t="shared" si="38"/>
        <v>1.2699999999999999E-2</v>
      </c>
      <c r="T30" s="89">
        <v>37.44</v>
      </c>
      <c r="U30" s="414">
        <f>IF(RIGHT(T$12,2)&lt;=RIGHT(ANALISIS!$D$15,2),ROUND(T30*$D30,2),0)</f>
        <v>67449.279999999999</v>
      </c>
      <c r="V30" s="160">
        <f t="shared" si="39"/>
        <v>6.2300000000000001E-2</v>
      </c>
      <c r="W30" s="89"/>
      <c r="X30" s="414">
        <f>IF(RIGHT(W$12,2)&lt;=RIGHT(ANALISIS!$D$15,2),ROUND(W30*$D30,2),0)</f>
        <v>0</v>
      </c>
      <c r="Y30" s="160">
        <f t="shared" si="40"/>
        <v>0</v>
      </c>
      <c r="Z30" s="97">
        <v>123.64</v>
      </c>
      <c r="AA30" s="412">
        <f>IF(RIGHT(Z$12,2)&lt;=RIGHT(ANALISIS!$D$15,2),ROUND(Z30*$D30,2),0)</f>
        <v>222741.17</v>
      </c>
      <c r="AB30" s="160">
        <f t="shared" si="41"/>
        <v>0.20569999999999999</v>
      </c>
      <c r="AC30" s="97">
        <v>42.34</v>
      </c>
      <c r="AD30" s="412">
        <f>IF(RIGHT(AC$12,2)&lt;=RIGHT(ANALISIS!$D$15,2),ROUND(AC30*$D30,2),0)</f>
        <v>76276.78</v>
      </c>
      <c r="AE30" s="160">
        <f t="shared" si="42"/>
        <v>7.0400000000000004E-2</v>
      </c>
      <c r="AF30" s="97"/>
      <c r="AG30" s="412">
        <f>IF(RIGHT(AF$12,2)&lt;=RIGHT(ANALISIS!$D$15,2),ROUND(AF30*$D30,2),0)</f>
        <v>0</v>
      </c>
      <c r="AH30" s="160">
        <f t="shared" si="43"/>
        <v>0</v>
      </c>
      <c r="AI30" s="97"/>
      <c r="AJ30" s="412">
        <f>IF(RIGHT(AI$12,2)&lt;=RIGHT(ANALISIS!$D$15,2),ROUND(AI30*$D30,2),0)</f>
        <v>0</v>
      </c>
      <c r="AK30" s="160">
        <f t="shared" si="44"/>
        <v>0</v>
      </c>
      <c r="AL30" s="97"/>
      <c r="AM30" s="412">
        <f>IF(RIGHT(AL$12,2)&lt;=RIGHT(ANALISIS!$D$15,2),ROUND(AL30*$D30,2),0)</f>
        <v>0</v>
      </c>
      <c r="AN30" s="160">
        <f t="shared" si="45"/>
        <v>0</v>
      </c>
      <c r="AO30" s="50">
        <f t="shared" si="46"/>
        <v>168.72</v>
      </c>
      <c r="AP30" s="413">
        <f t="shared" si="15"/>
        <v>380230.92</v>
      </c>
      <c r="AQ30" s="364">
        <f t="shared" si="50"/>
        <v>0.28000000000000003</v>
      </c>
      <c r="AR30" s="364">
        <f t="shared" si="51"/>
        <v>0.35</v>
      </c>
      <c r="AT30" s="411">
        <f t="shared" si="47"/>
        <v>702776.85</v>
      </c>
      <c r="AU30" s="58">
        <f t="shared" si="48"/>
        <v>0.65</v>
      </c>
      <c r="AX30" s="23">
        <f ca="1">IF(AP30&lt;&gt;INDIRECT("'"&amp;ANALISIS!$D$15&amp;"'!P"&amp;ROW()),1,0)</f>
        <v>0</v>
      </c>
    </row>
    <row r="31" spans="1:50" ht="18" customHeight="1">
      <c r="A31" s="54">
        <f t="shared" si="52"/>
        <v>14</v>
      </c>
      <c r="B31" s="26" t="s">
        <v>36</v>
      </c>
      <c r="C31" s="27" t="s">
        <v>46</v>
      </c>
      <c r="D31" s="90">
        <v>15.35</v>
      </c>
      <c r="E31" s="90">
        <v>108768.82</v>
      </c>
      <c r="F31" s="284">
        <f t="shared" si="34"/>
        <v>1669601.39</v>
      </c>
      <c r="G31" s="372">
        <v>0</v>
      </c>
      <c r="H31" s="373">
        <v>108768.82</v>
      </c>
      <c r="I31" s="373">
        <f t="shared" si="49"/>
        <v>1669601.39</v>
      </c>
      <c r="J31" s="374">
        <f t="shared" si="35"/>
        <v>0</v>
      </c>
      <c r="K31" s="97"/>
      <c r="L31" s="412">
        <f>IF(RIGHT(K$12,2)&lt;=RIGHT(ANALISIS!$D$15,2),ROUND(K31*$D31,2),0)</f>
        <v>0</v>
      </c>
      <c r="M31" s="160">
        <f t="shared" si="36"/>
        <v>0</v>
      </c>
      <c r="N31" s="97"/>
      <c r="O31" s="408">
        <f>IF(RIGHT(N$12,2)&lt;=RIGHT(ANALISIS!$D$15,2),ROUND(N31*$D31,2),0)</f>
        <v>0</v>
      </c>
      <c r="P31" s="160">
        <f t="shared" si="37"/>
        <v>0</v>
      </c>
      <c r="Q31" s="97">
        <v>3548.04</v>
      </c>
      <c r="R31" s="408">
        <f>IF(RIGHT(Q$12,2)&lt;=RIGHT(ANALISIS!$D$15,2),ROUND(Q31*$D31,2),0)</f>
        <v>54462.41</v>
      </c>
      <c r="S31" s="160">
        <f t="shared" si="38"/>
        <v>3.2599999999999997E-2</v>
      </c>
      <c r="T31" s="89">
        <v>3967.17</v>
      </c>
      <c r="U31" s="414">
        <f>IF(RIGHT(T$12,2)&lt;=RIGHT(ANALISIS!$D$15,2),ROUND(T31*$D31,2),0)</f>
        <v>60896.06</v>
      </c>
      <c r="V31" s="160">
        <f t="shared" si="39"/>
        <v>3.6499999999999998E-2</v>
      </c>
      <c r="W31" s="89"/>
      <c r="X31" s="414">
        <f>IF(RIGHT(W$12,2)&lt;=RIGHT(ANALISIS!$D$15,2),ROUND(W31*$D31,2),0)</f>
        <v>0</v>
      </c>
      <c r="Y31" s="160">
        <f t="shared" si="40"/>
        <v>0</v>
      </c>
      <c r="Z31" s="97">
        <v>17384.89</v>
      </c>
      <c r="AA31" s="412">
        <f>IF(RIGHT(Z$12,2)&lt;=RIGHT(ANALISIS!$D$15,2),ROUND(Z31*$D31,2),0)</f>
        <v>266858.06</v>
      </c>
      <c r="AB31" s="160">
        <f t="shared" si="41"/>
        <v>0.1598</v>
      </c>
      <c r="AC31" s="97">
        <v>4551.26</v>
      </c>
      <c r="AD31" s="412">
        <f>IF(RIGHT(AC$12,2)&lt;=RIGHT(ANALISIS!$D$15,2),ROUND(AC31*$D31,2),0)</f>
        <v>69861.84</v>
      </c>
      <c r="AE31" s="160">
        <f t="shared" si="42"/>
        <v>4.1799999999999997E-2</v>
      </c>
      <c r="AF31" s="97"/>
      <c r="AG31" s="412">
        <f>IF(RIGHT(AF$12,2)&lt;=RIGHT(ANALISIS!$D$15,2),ROUND(AF31*$D31,2),0)</f>
        <v>0</v>
      </c>
      <c r="AH31" s="160">
        <f t="shared" si="43"/>
        <v>0</v>
      </c>
      <c r="AI31" s="97"/>
      <c r="AJ31" s="412">
        <f>IF(RIGHT(AI$12,2)&lt;=RIGHT(ANALISIS!$D$15,2),ROUND(AI31*$D31,2),0)</f>
        <v>0</v>
      </c>
      <c r="AK31" s="160">
        <f t="shared" si="44"/>
        <v>0</v>
      </c>
      <c r="AL31" s="97"/>
      <c r="AM31" s="412">
        <f>IF(RIGHT(AL$12,2)&lt;=RIGHT(ANALISIS!$D$15,2),ROUND(AL31*$D31,2),0)</f>
        <v>0</v>
      </c>
      <c r="AN31" s="160">
        <f t="shared" si="45"/>
        <v>0</v>
      </c>
      <c r="AO31" s="50">
        <f t="shared" si="46"/>
        <v>24900.1</v>
      </c>
      <c r="AP31" s="413">
        <f t="shared" si="15"/>
        <v>452078.37</v>
      </c>
      <c r="AQ31" s="364">
        <f t="shared" si="50"/>
        <v>0.23</v>
      </c>
      <c r="AR31" s="364">
        <f t="shared" si="51"/>
        <v>0.27</v>
      </c>
      <c r="AT31" s="411">
        <f t="shared" si="47"/>
        <v>1217523.02</v>
      </c>
      <c r="AU31" s="58">
        <f t="shared" si="48"/>
        <v>0.73</v>
      </c>
      <c r="AX31" s="23">
        <f ca="1">IF(AP31&lt;&gt;INDIRECT("'"&amp;ANALISIS!$D$15&amp;"'!P"&amp;ROW()),1,0)</f>
        <v>0</v>
      </c>
    </row>
    <row r="32" spans="1:50" ht="18" customHeight="1">
      <c r="A32" s="54">
        <f t="shared" si="52"/>
        <v>15</v>
      </c>
      <c r="B32" s="26" t="s">
        <v>37</v>
      </c>
      <c r="C32" s="27" t="s">
        <v>10</v>
      </c>
      <c r="D32" s="90">
        <v>79.53</v>
      </c>
      <c r="E32" s="90">
        <v>74.010000000000005</v>
      </c>
      <c r="F32" s="284">
        <f t="shared" si="34"/>
        <v>5886.02</v>
      </c>
      <c r="G32" s="372">
        <v>-34.26</v>
      </c>
      <c r="H32" s="373">
        <v>39.75</v>
      </c>
      <c r="I32" s="373">
        <f t="shared" si="49"/>
        <v>3161.32</v>
      </c>
      <c r="J32" s="374">
        <f t="shared" si="35"/>
        <v>-0.46289999999999998</v>
      </c>
      <c r="K32" s="97"/>
      <c r="L32" s="412">
        <f>IF(RIGHT(K$12,2)&lt;=RIGHT(ANALISIS!$D$15,2),ROUND(K32*$D32,2),0)</f>
        <v>0</v>
      </c>
      <c r="M32" s="160">
        <f t="shared" si="36"/>
        <v>0</v>
      </c>
      <c r="N32" s="97">
        <v>10.5</v>
      </c>
      <c r="O32" s="408">
        <f>IF(RIGHT(N$12,2)&lt;=RIGHT(ANALISIS!$D$15,2),ROUND(N32*$D32,2),0)</f>
        <v>835.07</v>
      </c>
      <c r="P32" s="160">
        <f t="shared" si="37"/>
        <v>0.26419999999999999</v>
      </c>
      <c r="Q32" s="97">
        <v>2.85</v>
      </c>
      <c r="R32" s="408">
        <f>IF(RIGHT(Q$12,2)&lt;=RIGHT(ANALISIS!$D$15,2),ROUND(Q32*$D32,2),0)</f>
        <v>226.66</v>
      </c>
      <c r="S32" s="160">
        <f t="shared" si="38"/>
        <v>7.17E-2</v>
      </c>
      <c r="T32" s="89">
        <v>1.35</v>
      </c>
      <c r="U32" s="414">
        <f>IF(RIGHT(T$12,2)&lt;=RIGHT(ANALISIS!$D$15,2),ROUND(T32*$D32,2),0)</f>
        <v>107.37</v>
      </c>
      <c r="V32" s="160">
        <f t="shared" si="39"/>
        <v>3.4000000000000002E-2</v>
      </c>
      <c r="W32" s="89"/>
      <c r="X32" s="414">
        <f>IF(RIGHT(W$12,2)&lt;=RIGHT(ANALISIS!$D$15,2),ROUND(W32*$D32,2),0)</f>
        <v>0</v>
      </c>
      <c r="Y32" s="160">
        <f t="shared" si="40"/>
        <v>0</v>
      </c>
      <c r="Z32" s="97">
        <v>3.58</v>
      </c>
      <c r="AA32" s="412">
        <f>IF(RIGHT(Z$12,2)&lt;=RIGHT(ANALISIS!$D$15,2),ROUND(Z32*$D32,2),0)</f>
        <v>284.72000000000003</v>
      </c>
      <c r="AB32" s="160">
        <f t="shared" si="41"/>
        <v>9.01E-2</v>
      </c>
      <c r="AC32" s="97"/>
      <c r="AD32" s="412">
        <f>IF(RIGHT(AC$12,2)&lt;=RIGHT(ANALISIS!$D$15,2),ROUND(AC32*$D32,2),0)</f>
        <v>0</v>
      </c>
      <c r="AE32" s="160">
        <f t="shared" si="42"/>
        <v>0</v>
      </c>
      <c r="AF32" s="97"/>
      <c r="AG32" s="412">
        <f>IF(RIGHT(AF$12,2)&lt;=RIGHT(ANALISIS!$D$15,2),ROUND(AF32*$D32,2),0)</f>
        <v>0</v>
      </c>
      <c r="AH32" s="160">
        <f t="shared" si="43"/>
        <v>0</v>
      </c>
      <c r="AI32" s="97"/>
      <c r="AJ32" s="412">
        <f>IF(RIGHT(AI$12,2)&lt;=RIGHT(ANALISIS!$D$15,2),ROUND(AI32*$D32,2),0)</f>
        <v>0</v>
      </c>
      <c r="AK32" s="160">
        <f t="shared" si="44"/>
        <v>0</v>
      </c>
      <c r="AL32" s="97"/>
      <c r="AM32" s="412">
        <f>IF(RIGHT(AL$12,2)&lt;=RIGHT(ANALISIS!$D$15,2),ROUND(AL32*$D32,2),0)</f>
        <v>0</v>
      </c>
      <c r="AN32" s="160">
        <f t="shared" si="45"/>
        <v>0</v>
      </c>
      <c r="AO32" s="50">
        <f t="shared" si="46"/>
        <v>18.28</v>
      </c>
      <c r="AP32" s="413">
        <f t="shared" si="15"/>
        <v>1453.82</v>
      </c>
      <c r="AQ32" s="364">
        <f t="shared" si="50"/>
        <v>0.46</v>
      </c>
      <c r="AR32" s="364">
        <f t="shared" si="51"/>
        <v>0.46</v>
      </c>
      <c r="AT32" s="411">
        <f t="shared" si="47"/>
        <v>1707.5</v>
      </c>
      <c r="AU32" s="58">
        <f t="shared" si="48"/>
        <v>0.54</v>
      </c>
      <c r="AX32" s="23">
        <f ca="1">IF(AP32&lt;&gt;INDIRECT("'"&amp;ANALISIS!$D$15&amp;"'!P"&amp;ROW()),1,0)</f>
        <v>0</v>
      </c>
    </row>
    <row r="33" spans="1:50" ht="18" customHeight="1">
      <c r="A33" s="54">
        <f t="shared" si="52"/>
        <v>16</v>
      </c>
      <c r="B33" s="26" t="s">
        <v>38</v>
      </c>
      <c r="C33" s="27" t="s">
        <v>10</v>
      </c>
      <c r="D33" s="90">
        <v>59.3</v>
      </c>
      <c r="E33" s="90">
        <v>30077.59</v>
      </c>
      <c r="F33" s="284">
        <f t="shared" si="34"/>
        <v>1783601.09</v>
      </c>
      <c r="G33" s="372">
        <v>-24444.22</v>
      </c>
      <c r="H33" s="373">
        <v>5633.37</v>
      </c>
      <c r="I33" s="373">
        <f t="shared" si="49"/>
        <v>334058.84000000003</v>
      </c>
      <c r="J33" s="374">
        <f t="shared" si="35"/>
        <v>-0.81269999999999998</v>
      </c>
      <c r="K33" s="97">
        <v>91.87</v>
      </c>
      <c r="L33" s="408">
        <f>IF(RIGHT(K$12,2)&lt;=RIGHT(ANALISIS!$D$15,2),ROUND(K33*$D33,2),0)</f>
        <v>5447.89</v>
      </c>
      <c r="M33" s="160">
        <f t="shared" si="36"/>
        <v>1.6299999999999999E-2</v>
      </c>
      <c r="N33" s="97">
        <v>327.76</v>
      </c>
      <c r="O33" s="408">
        <f>IF(RIGHT(N$12,2)&lt;=RIGHT(ANALISIS!$D$15,2),ROUND(N33*$D33,2),0)</f>
        <v>19436.169999999998</v>
      </c>
      <c r="P33" s="160">
        <f t="shared" si="37"/>
        <v>5.8200000000000002E-2</v>
      </c>
      <c r="Q33" s="97">
        <v>1146.3900000000001</v>
      </c>
      <c r="R33" s="408">
        <f>IF(RIGHT(Q$12,2)&lt;=RIGHT(ANALISIS!$D$15,2),ROUND(Q33*$D33,2),0)</f>
        <v>67980.929999999993</v>
      </c>
      <c r="S33" s="160">
        <f t="shared" si="38"/>
        <v>0.20349999999999999</v>
      </c>
      <c r="T33" s="89">
        <v>1034.81</v>
      </c>
      <c r="U33" s="408">
        <f>IF(RIGHT(T$12,2)&lt;=RIGHT(ANALISIS!$D$15,2),ROUND(T33*$D33,2),0)</f>
        <v>61364.23</v>
      </c>
      <c r="V33" s="160">
        <f t="shared" si="39"/>
        <v>0.1837</v>
      </c>
      <c r="W33" s="89">
        <v>351.99</v>
      </c>
      <c r="X33" s="408">
        <f>IF(RIGHT(W$12,2)&lt;=RIGHT(ANALISIS!$D$15,2),ROUND(W33*$D33,2),0)</f>
        <v>20873.009999999998</v>
      </c>
      <c r="Y33" s="160">
        <f t="shared" si="40"/>
        <v>6.25E-2</v>
      </c>
      <c r="Z33" s="97">
        <v>1202.26</v>
      </c>
      <c r="AA33" s="412">
        <f>IF(RIGHT(Z$12,2)&lt;=RIGHT(ANALISIS!$D$15,2),ROUND(Z33*$D33,2),0)</f>
        <v>71294.02</v>
      </c>
      <c r="AB33" s="160">
        <f t="shared" si="41"/>
        <v>0.21340000000000001</v>
      </c>
      <c r="AC33" s="97">
        <v>188.19</v>
      </c>
      <c r="AD33" s="412">
        <f>IF(RIGHT(AC$12,2)&lt;=RIGHT(ANALISIS!$D$15,2),ROUND(AC33*$D33,2),0)</f>
        <v>11159.67</v>
      </c>
      <c r="AE33" s="160">
        <f t="shared" si="42"/>
        <v>3.3399999999999999E-2</v>
      </c>
      <c r="AF33" s="97"/>
      <c r="AG33" s="412">
        <f>IF(RIGHT(AF$12,2)&lt;=RIGHT(ANALISIS!$D$15,2),ROUND(AF33*$D33,2),0)</f>
        <v>0</v>
      </c>
      <c r="AH33" s="160">
        <f t="shared" si="43"/>
        <v>0</v>
      </c>
      <c r="AI33" s="97"/>
      <c r="AJ33" s="412">
        <f>IF(RIGHT(AI$12,2)&lt;=RIGHT(ANALISIS!$D$15,2),ROUND(AI33*$D33,2),0)</f>
        <v>0</v>
      </c>
      <c r="AK33" s="160">
        <f t="shared" si="44"/>
        <v>0</v>
      </c>
      <c r="AL33" s="97"/>
      <c r="AM33" s="412">
        <f>IF(RIGHT(AL$12,2)&lt;=RIGHT(ANALISIS!$D$15,2),ROUND(AL33*$D33,2),0)</f>
        <v>0</v>
      </c>
      <c r="AN33" s="160">
        <f t="shared" si="45"/>
        <v>0</v>
      </c>
      <c r="AO33" s="50">
        <f t="shared" si="46"/>
        <v>4155.08</v>
      </c>
      <c r="AP33" s="413">
        <f t="shared" si="15"/>
        <v>257555.92</v>
      </c>
      <c r="AQ33" s="364">
        <f t="shared" si="50"/>
        <v>0.74</v>
      </c>
      <c r="AR33" s="364">
        <f t="shared" si="51"/>
        <v>0.77</v>
      </c>
      <c r="AT33" s="411">
        <f t="shared" si="47"/>
        <v>76502.92</v>
      </c>
      <c r="AU33" s="58">
        <f t="shared" si="48"/>
        <v>0.23</v>
      </c>
      <c r="AX33" s="23">
        <f ca="1">IF(AP33&lt;&gt;INDIRECT("'"&amp;ANALISIS!$D$15&amp;"'!P"&amp;ROW()),1,0)</f>
        <v>0</v>
      </c>
    </row>
    <row r="34" spans="1:50" ht="18" customHeight="1">
      <c r="A34" s="54">
        <f t="shared" si="52"/>
        <v>17</v>
      </c>
      <c r="B34" s="26" t="s">
        <v>39</v>
      </c>
      <c r="C34" s="27" t="s">
        <v>25</v>
      </c>
      <c r="D34" s="90">
        <v>213.4</v>
      </c>
      <c r="E34" s="90">
        <v>384.62</v>
      </c>
      <c r="F34" s="284">
        <f t="shared" si="34"/>
        <v>82077.91</v>
      </c>
      <c r="G34" s="372">
        <v>0</v>
      </c>
      <c r="H34" s="373">
        <v>384.62</v>
      </c>
      <c r="I34" s="373">
        <f t="shared" si="49"/>
        <v>82077.91</v>
      </c>
      <c r="J34" s="374">
        <f t="shared" si="35"/>
        <v>0</v>
      </c>
      <c r="K34" s="97"/>
      <c r="L34" s="412">
        <f>IF(RIGHT(K$12,2)&lt;=RIGHT(ANALISIS!$D$15,2),ROUND(K34*$D34,2),0)</f>
        <v>0</v>
      </c>
      <c r="M34" s="160">
        <f t="shared" si="36"/>
        <v>0</v>
      </c>
      <c r="N34" s="97"/>
      <c r="O34" s="408">
        <f>IF(RIGHT(N$12,2)&lt;=RIGHT(ANALISIS!$D$15,2),ROUND(N34*$D34,2),0)</f>
        <v>0</v>
      </c>
      <c r="P34" s="160">
        <f t="shared" si="37"/>
        <v>0</v>
      </c>
      <c r="Q34" s="97"/>
      <c r="R34" s="408">
        <f>IF(RIGHT(Q$12,2)&lt;=RIGHT(ANALISIS!$D$15,2),ROUND(Q34*$D34,2),0)</f>
        <v>0</v>
      </c>
      <c r="S34" s="160">
        <f t="shared" si="38"/>
        <v>0</v>
      </c>
      <c r="T34" s="89"/>
      <c r="U34" s="408">
        <f>IF(RIGHT(T$12,2)&lt;=RIGHT(ANALISIS!$D$15,2),ROUND(T34*$D34,2),0)</f>
        <v>0</v>
      </c>
      <c r="V34" s="160">
        <f t="shared" si="39"/>
        <v>0</v>
      </c>
      <c r="W34" s="89"/>
      <c r="X34" s="408">
        <f>IF(RIGHT(W$12,2)&lt;=RIGHT(ANALISIS!$D$15,2),ROUND(W34*$D34,2),0)</f>
        <v>0</v>
      </c>
      <c r="Y34" s="160">
        <f t="shared" si="40"/>
        <v>0</v>
      </c>
      <c r="Z34" s="97">
        <v>267</v>
      </c>
      <c r="AA34" s="412">
        <f>IF(RIGHT(Z$12,2)&lt;=RIGHT(ANALISIS!$D$15,2),ROUND(Z34*$D34,2),0)</f>
        <v>56977.8</v>
      </c>
      <c r="AB34" s="160">
        <f t="shared" si="41"/>
        <v>0.69420000000000004</v>
      </c>
      <c r="AC34" s="97"/>
      <c r="AD34" s="412">
        <f>IF(RIGHT(AC$12,2)&lt;=RIGHT(ANALISIS!$D$15,2),ROUND(AC34*$D34,2),0)</f>
        <v>0</v>
      </c>
      <c r="AE34" s="160">
        <f t="shared" si="42"/>
        <v>0</v>
      </c>
      <c r="AF34" s="97"/>
      <c r="AG34" s="412">
        <f>IF(RIGHT(AF$12,2)&lt;=RIGHT(ANALISIS!$D$15,2),ROUND(AF34*$D34,2),0)</f>
        <v>0</v>
      </c>
      <c r="AH34" s="160">
        <f t="shared" si="43"/>
        <v>0</v>
      </c>
      <c r="AI34" s="97"/>
      <c r="AJ34" s="412">
        <f>IF(RIGHT(AI$12,2)&lt;=RIGHT(ANALISIS!$D$15,2),ROUND(AI34*$D34,2),0)</f>
        <v>0</v>
      </c>
      <c r="AK34" s="160">
        <f t="shared" si="44"/>
        <v>0</v>
      </c>
      <c r="AL34" s="97"/>
      <c r="AM34" s="412">
        <f>IF(RIGHT(AL$12,2)&lt;=RIGHT(ANALISIS!$D$15,2),ROUND(AL34*$D34,2),0)</f>
        <v>0</v>
      </c>
      <c r="AN34" s="160">
        <f t="shared" si="45"/>
        <v>0</v>
      </c>
      <c r="AO34" s="50">
        <f t="shared" si="46"/>
        <v>267</v>
      </c>
      <c r="AP34" s="413">
        <f t="shared" si="15"/>
        <v>56977.8</v>
      </c>
      <c r="AQ34" s="364">
        <f t="shared" si="50"/>
        <v>0.69</v>
      </c>
      <c r="AR34" s="364">
        <f t="shared" si="51"/>
        <v>0.69</v>
      </c>
      <c r="AT34" s="411">
        <f t="shared" si="47"/>
        <v>25100.11</v>
      </c>
      <c r="AU34" s="58">
        <f t="shared" si="48"/>
        <v>0.31</v>
      </c>
      <c r="AX34" s="23">
        <f ca="1">IF(AP34&lt;&gt;INDIRECT("'"&amp;ANALISIS!$D$15&amp;"'!P"&amp;ROW()),1,0)</f>
        <v>0</v>
      </c>
    </row>
    <row r="35" spans="1:50" ht="18" customHeight="1">
      <c r="A35" s="54">
        <f t="shared" si="52"/>
        <v>18</v>
      </c>
      <c r="B35" s="26" t="s">
        <v>40</v>
      </c>
      <c r="C35" s="27" t="s">
        <v>25</v>
      </c>
      <c r="D35" s="90">
        <v>127.61</v>
      </c>
      <c r="E35" s="90">
        <v>795</v>
      </c>
      <c r="F35" s="284">
        <f t="shared" si="34"/>
        <v>101449.95</v>
      </c>
      <c r="G35" s="372">
        <v>0</v>
      </c>
      <c r="H35" s="373">
        <v>795</v>
      </c>
      <c r="I35" s="373">
        <f t="shared" si="49"/>
        <v>101449.95</v>
      </c>
      <c r="J35" s="374">
        <f t="shared" si="35"/>
        <v>0</v>
      </c>
      <c r="K35" s="97"/>
      <c r="L35" s="412">
        <f>IF(RIGHT(K$12,2)&lt;=RIGHT(ANALISIS!$D$15,2),ROUND(K35*$D35,2),0)</f>
        <v>0</v>
      </c>
      <c r="M35" s="160">
        <f t="shared" si="36"/>
        <v>0</v>
      </c>
      <c r="N35" s="97"/>
      <c r="O35" s="408">
        <f>IF(RIGHT(N$12,2)&lt;=RIGHT(ANALISIS!$D$15,2),ROUND(N35*$D35,2),0)</f>
        <v>0</v>
      </c>
      <c r="P35" s="160">
        <f t="shared" si="37"/>
        <v>0</v>
      </c>
      <c r="Q35" s="97"/>
      <c r="R35" s="408">
        <f>IF(RIGHT(Q$12,2)&lt;=RIGHT(ANALISIS!$D$15,2),ROUND(Q35*$D35,2),0)</f>
        <v>0</v>
      </c>
      <c r="S35" s="160">
        <f t="shared" si="38"/>
        <v>0</v>
      </c>
      <c r="T35" s="89"/>
      <c r="U35" s="408">
        <f>IF(RIGHT(T$12,2)&lt;=RIGHT(ANALISIS!$D$15,2),ROUND(T35*$D35,2),0)</f>
        <v>0</v>
      </c>
      <c r="V35" s="160">
        <f t="shared" si="39"/>
        <v>0</v>
      </c>
      <c r="W35" s="89"/>
      <c r="X35" s="408">
        <f>IF(RIGHT(W$12,2)&lt;=RIGHT(ANALISIS!$D$15,2),ROUND(W35*$D35,2),0)</f>
        <v>0</v>
      </c>
      <c r="Y35" s="160">
        <f t="shared" si="40"/>
        <v>0</v>
      </c>
      <c r="Z35" s="97"/>
      <c r="AA35" s="412">
        <f>IF(RIGHT(Z$12,2)&lt;=RIGHT(ANALISIS!$D$15,2),ROUND(Z35*$D35,2),0)</f>
        <v>0</v>
      </c>
      <c r="AB35" s="160">
        <f t="shared" si="41"/>
        <v>0</v>
      </c>
      <c r="AC35" s="97"/>
      <c r="AD35" s="412">
        <f>IF(RIGHT(AC$12,2)&lt;=RIGHT(ANALISIS!$D$15,2),ROUND(AC35*$D35,2),0)</f>
        <v>0</v>
      </c>
      <c r="AE35" s="160">
        <f t="shared" si="42"/>
        <v>0</v>
      </c>
      <c r="AF35" s="97"/>
      <c r="AG35" s="412">
        <f>IF(RIGHT(AF$12,2)&lt;=RIGHT(ANALISIS!$D$15,2),ROUND(AF35*$D35,2),0)</f>
        <v>0</v>
      </c>
      <c r="AH35" s="160">
        <f t="shared" si="43"/>
        <v>0</v>
      </c>
      <c r="AI35" s="97"/>
      <c r="AJ35" s="412">
        <f>IF(RIGHT(AI$12,2)&lt;=RIGHT(ANALISIS!$D$15,2),ROUND(AI35*$D35,2),0)</f>
        <v>0</v>
      </c>
      <c r="AK35" s="160">
        <f t="shared" si="44"/>
        <v>0</v>
      </c>
      <c r="AL35" s="97"/>
      <c r="AM35" s="412">
        <f>IF(RIGHT(AL$12,2)&lt;=RIGHT(ANALISIS!$D$15,2),ROUND(AL35*$D35,2),0)</f>
        <v>0</v>
      </c>
      <c r="AN35" s="160">
        <f t="shared" si="45"/>
        <v>0</v>
      </c>
      <c r="AO35" s="50">
        <f t="shared" si="46"/>
        <v>0</v>
      </c>
      <c r="AP35" s="413">
        <f t="shared" si="15"/>
        <v>0</v>
      </c>
      <c r="AQ35" s="364">
        <f t="shared" si="50"/>
        <v>0</v>
      </c>
      <c r="AR35" s="364">
        <f t="shared" si="51"/>
        <v>0</v>
      </c>
      <c r="AT35" s="411">
        <f t="shared" si="47"/>
        <v>101449.95</v>
      </c>
      <c r="AU35" s="58">
        <f t="shared" si="48"/>
        <v>1</v>
      </c>
      <c r="AX35" s="23">
        <f ca="1">IF(AP35&lt;&gt;INDIRECT("'"&amp;ANALISIS!$D$15&amp;"'!P"&amp;ROW()),1,0)</f>
        <v>0</v>
      </c>
    </row>
    <row r="36" spans="1:50" ht="18" customHeight="1">
      <c r="A36" s="54">
        <f t="shared" si="52"/>
        <v>19</v>
      </c>
      <c r="B36" s="26" t="s">
        <v>41</v>
      </c>
      <c r="C36" s="27" t="s">
        <v>10</v>
      </c>
      <c r="D36" s="90">
        <v>474.36</v>
      </c>
      <c r="E36" s="90">
        <v>1717</v>
      </c>
      <c r="F36" s="284">
        <f t="shared" si="34"/>
        <v>814476.12</v>
      </c>
      <c r="G36" s="372">
        <v>-717</v>
      </c>
      <c r="H36" s="373">
        <v>1000</v>
      </c>
      <c r="I36" s="373">
        <f t="shared" si="49"/>
        <v>474360</v>
      </c>
      <c r="J36" s="374">
        <f t="shared" si="35"/>
        <v>-0.41760000000000003</v>
      </c>
      <c r="K36" s="97">
        <v>86</v>
      </c>
      <c r="L36" s="408">
        <f>IF(RIGHT(K$12,2)&lt;=RIGHT(ANALISIS!$D$15,2),ROUND(K36*$D36,2),0)</f>
        <v>40794.959999999999</v>
      </c>
      <c r="M36" s="160">
        <f t="shared" si="36"/>
        <v>8.5999999999999993E-2</v>
      </c>
      <c r="N36" s="97">
        <v>122.5</v>
      </c>
      <c r="O36" s="408">
        <f>IF(RIGHT(N$12,2)&lt;=RIGHT(ANALISIS!$D$15,2),ROUND(N36*$D36,2),0)</f>
        <v>58109.1</v>
      </c>
      <c r="P36" s="160">
        <f t="shared" si="37"/>
        <v>0.1225</v>
      </c>
      <c r="Q36" s="97">
        <v>90</v>
      </c>
      <c r="R36" s="408">
        <f>IF(RIGHT(Q$12,2)&lt;=RIGHT(ANALISIS!$D$15,2),ROUND(Q36*$D36,2),0)</f>
        <v>42692.4</v>
      </c>
      <c r="S36" s="160">
        <f t="shared" si="38"/>
        <v>0.09</v>
      </c>
      <c r="T36" s="89">
        <v>199</v>
      </c>
      <c r="U36" s="408">
        <f>IF(RIGHT(T$12,2)&lt;=RIGHT(ANALISIS!$D$15,2),ROUND(T36*$D36,2),0)</f>
        <v>94397.64</v>
      </c>
      <c r="V36" s="160">
        <f t="shared" si="39"/>
        <v>0.19900000000000001</v>
      </c>
      <c r="W36" s="89"/>
      <c r="X36" s="408">
        <f>IF(RIGHT(W$12,2)&lt;=RIGHT(ANALISIS!$D$15,2),ROUND(W36*$D36,2),0)</f>
        <v>0</v>
      </c>
      <c r="Y36" s="160">
        <f t="shared" si="40"/>
        <v>0</v>
      </c>
      <c r="Z36" s="97"/>
      <c r="AA36" s="412">
        <f>IF(RIGHT(Z$12,2)&lt;=RIGHT(ANALISIS!$D$15,2),ROUND(Z36*$D36,2),0)</f>
        <v>0</v>
      </c>
      <c r="AB36" s="160">
        <f t="shared" si="41"/>
        <v>0</v>
      </c>
      <c r="AC36" s="97">
        <v>205</v>
      </c>
      <c r="AD36" s="412">
        <f>IF(RIGHT(AC$12,2)&lt;=RIGHT(ANALISIS!$D$15,2),ROUND(AC36*$D36,2),0)</f>
        <v>97243.8</v>
      </c>
      <c r="AE36" s="160">
        <f t="shared" si="42"/>
        <v>0.20499999999999999</v>
      </c>
      <c r="AF36" s="97"/>
      <c r="AG36" s="412">
        <f>IF(RIGHT(AF$12,2)&lt;=RIGHT(ANALISIS!$D$15,2),ROUND(AF36*$D36,2),0)</f>
        <v>0</v>
      </c>
      <c r="AH36" s="160">
        <f t="shared" si="43"/>
        <v>0</v>
      </c>
      <c r="AI36" s="97"/>
      <c r="AJ36" s="412">
        <f>IF(RIGHT(AI$12,2)&lt;=RIGHT(ANALISIS!$D$15,2),ROUND(AI36*$D36,2),0)</f>
        <v>0</v>
      </c>
      <c r="AK36" s="160">
        <f t="shared" si="44"/>
        <v>0</v>
      </c>
      <c r="AL36" s="97"/>
      <c r="AM36" s="412">
        <f>IF(RIGHT(AL$12,2)&lt;=RIGHT(ANALISIS!$D$15,2),ROUND(AL36*$D36,2),0)</f>
        <v>0</v>
      </c>
      <c r="AN36" s="160">
        <f t="shared" si="45"/>
        <v>0</v>
      </c>
      <c r="AO36" s="50">
        <f t="shared" si="46"/>
        <v>497.5</v>
      </c>
      <c r="AP36" s="413">
        <f t="shared" si="15"/>
        <v>333237.90000000002</v>
      </c>
      <c r="AQ36" s="364">
        <f t="shared" si="50"/>
        <v>0.5</v>
      </c>
      <c r="AR36" s="364">
        <f t="shared" si="51"/>
        <v>0.7</v>
      </c>
      <c r="AT36" s="411">
        <f t="shared" si="47"/>
        <v>141122.1</v>
      </c>
      <c r="AU36" s="58">
        <f t="shared" si="48"/>
        <v>0.3</v>
      </c>
      <c r="AX36" s="23">
        <f ca="1">IF(AP36&lt;&gt;INDIRECT("'"&amp;ANALISIS!$D$15&amp;"'!P"&amp;ROW()),1,0)</f>
        <v>0</v>
      </c>
    </row>
    <row r="37" spans="1:50" ht="18" customHeight="1">
      <c r="A37" s="54">
        <f t="shared" si="52"/>
        <v>20</v>
      </c>
      <c r="B37" s="26" t="s">
        <v>42</v>
      </c>
      <c r="C37" s="27" t="s">
        <v>47</v>
      </c>
      <c r="D37" s="90">
        <v>111.72</v>
      </c>
      <c r="E37" s="90">
        <v>18000</v>
      </c>
      <c r="F37" s="284">
        <f t="shared" si="34"/>
        <v>2010960</v>
      </c>
      <c r="G37" s="380">
        <v>-10989.12</v>
      </c>
      <c r="H37" s="381">
        <v>7010.8841000000002</v>
      </c>
      <c r="I37" s="373">
        <f t="shared" si="49"/>
        <v>783255.97</v>
      </c>
      <c r="J37" s="374">
        <f t="shared" si="35"/>
        <v>-0.61050000000000004</v>
      </c>
      <c r="K37" s="97"/>
      <c r="L37" s="412">
        <f>IF(RIGHT(K$12,2)&lt;=RIGHT(ANALISIS!$D$15,2),ROUND(K37*$D37,2),0)</f>
        <v>0</v>
      </c>
      <c r="M37" s="160">
        <f t="shared" si="36"/>
        <v>0</v>
      </c>
      <c r="N37" s="97"/>
      <c r="O37" s="408">
        <f>IF(RIGHT(N$12,2)&lt;=RIGHT(ANALISIS!$D$15,2),ROUND(N37*$D37,2),0)</f>
        <v>0</v>
      </c>
      <c r="P37" s="160">
        <f t="shared" si="37"/>
        <v>0</v>
      </c>
      <c r="Q37" s="97"/>
      <c r="R37" s="408">
        <f>IF(RIGHT(Q$12,2)&lt;=RIGHT(ANALISIS!$D$15,2),ROUND(Q37*$D37,2),0)</f>
        <v>0</v>
      </c>
      <c r="S37" s="160">
        <f t="shared" si="38"/>
        <v>0</v>
      </c>
      <c r="T37" s="89"/>
      <c r="U37" s="408">
        <f>IF(RIGHT(T$12,2)&lt;=RIGHT(ANALISIS!$D$15,2),ROUND(T37*$D37,2),0)</f>
        <v>0</v>
      </c>
      <c r="V37" s="160">
        <f t="shared" si="39"/>
        <v>0</v>
      </c>
      <c r="W37" s="89"/>
      <c r="X37" s="408">
        <f>IF(RIGHT(W$12,2)&lt;=RIGHT(ANALISIS!$D$15,2),ROUND(W37*$D37,2),0)</f>
        <v>0</v>
      </c>
      <c r="Y37" s="160">
        <f t="shared" si="40"/>
        <v>0</v>
      </c>
      <c r="Z37" s="97">
        <v>130</v>
      </c>
      <c r="AA37" s="412">
        <f>IF(RIGHT(Z$12,2)&lt;=RIGHT(ANALISIS!$D$15,2),ROUND(Z37*$D37,2),0)</f>
        <v>14523.6</v>
      </c>
      <c r="AB37" s="160">
        <f t="shared" si="41"/>
        <v>1.8499999999999999E-2</v>
      </c>
      <c r="AC37" s="97">
        <v>2719.5</v>
      </c>
      <c r="AD37" s="412">
        <f>IF(RIGHT(AC$12,2)&lt;=RIGHT(ANALISIS!$D$15,2),ROUND(AC37*$D37,2),0)</f>
        <v>303822.53999999998</v>
      </c>
      <c r="AE37" s="160">
        <f t="shared" si="42"/>
        <v>0.38790000000000002</v>
      </c>
      <c r="AF37" s="97"/>
      <c r="AG37" s="412">
        <f>IF(RIGHT(AF$12,2)&lt;=RIGHT(ANALISIS!$D$15,2),ROUND(AF37*$D37,2),0)</f>
        <v>0</v>
      </c>
      <c r="AH37" s="160">
        <f t="shared" si="43"/>
        <v>0</v>
      </c>
      <c r="AI37" s="97"/>
      <c r="AJ37" s="412">
        <f>IF(RIGHT(AI$12,2)&lt;=RIGHT(ANALISIS!$D$15,2),ROUND(AI37*$D37,2),0)</f>
        <v>0</v>
      </c>
      <c r="AK37" s="160">
        <f t="shared" si="44"/>
        <v>0</v>
      </c>
      <c r="AL37" s="97"/>
      <c r="AM37" s="412">
        <f>IF(RIGHT(AL$12,2)&lt;=RIGHT(ANALISIS!$D$15,2),ROUND(AL37*$D37,2),0)</f>
        <v>0</v>
      </c>
      <c r="AN37" s="160">
        <f t="shared" si="45"/>
        <v>0</v>
      </c>
      <c r="AO37" s="50">
        <f t="shared" si="46"/>
        <v>130</v>
      </c>
      <c r="AP37" s="413">
        <f t="shared" si="15"/>
        <v>318346.14</v>
      </c>
      <c r="AQ37" s="364">
        <f t="shared" si="50"/>
        <v>0.02</v>
      </c>
      <c r="AR37" s="364">
        <f t="shared" si="51"/>
        <v>0.41</v>
      </c>
      <c r="AT37" s="411">
        <f t="shared" si="47"/>
        <v>464909.83</v>
      </c>
      <c r="AU37" s="58">
        <f t="shared" si="48"/>
        <v>0.59</v>
      </c>
      <c r="AX37" s="23">
        <f ca="1">IF(AP37&lt;&gt;INDIRECT("'"&amp;ANALISIS!$D$15&amp;"'!P"&amp;ROW()),1,0)</f>
        <v>0</v>
      </c>
    </row>
    <row r="38" spans="1:50" ht="18" customHeight="1">
      <c r="A38" s="54">
        <f t="shared" si="52"/>
        <v>21</v>
      </c>
      <c r="B38" s="26" t="s">
        <v>43</v>
      </c>
      <c r="C38" s="27" t="s">
        <v>47</v>
      </c>
      <c r="D38" s="90">
        <v>1596.02</v>
      </c>
      <c r="E38" s="90">
        <v>343.55</v>
      </c>
      <c r="F38" s="284">
        <f t="shared" si="34"/>
        <v>548312.67000000004</v>
      </c>
      <c r="G38" s="372">
        <v>0</v>
      </c>
      <c r="H38" s="373">
        <v>343.55</v>
      </c>
      <c r="I38" s="373">
        <f t="shared" si="49"/>
        <v>548312.67000000004</v>
      </c>
      <c r="J38" s="374">
        <f t="shared" si="35"/>
        <v>0</v>
      </c>
      <c r="K38" s="97">
        <v>44</v>
      </c>
      <c r="L38" s="408">
        <f>IF(RIGHT(K$12,2)&lt;=RIGHT(ANALISIS!$D$15,2),ROUND(K38*$D38,2),0)</f>
        <v>70224.88</v>
      </c>
      <c r="M38" s="160">
        <f t="shared" si="36"/>
        <v>0.12809999999999999</v>
      </c>
      <c r="N38" s="97">
        <v>35</v>
      </c>
      <c r="O38" s="408">
        <f>IF(RIGHT(N$12,2)&lt;=RIGHT(ANALISIS!$D$15,2),ROUND(N38*$D38,2),0)</f>
        <v>55860.7</v>
      </c>
      <c r="P38" s="160">
        <f t="shared" si="37"/>
        <v>0.1019</v>
      </c>
      <c r="Q38" s="97">
        <v>19</v>
      </c>
      <c r="R38" s="408">
        <f>IF(RIGHT(Q$12,2)&lt;=RIGHT(ANALISIS!$D$15,2),ROUND(Q38*$D38,2),0)</f>
        <v>30324.38</v>
      </c>
      <c r="S38" s="160">
        <f t="shared" si="38"/>
        <v>5.5300000000000002E-2</v>
      </c>
      <c r="T38" s="89">
        <v>35</v>
      </c>
      <c r="U38" s="408">
        <f>IF(RIGHT(T$12,2)&lt;=RIGHT(ANALISIS!$D$15,2),ROUND(T38*$D38,2),0)</f>
        <v>55860.7</v>
      </c>
      <c r="V38" s="160">
        <f t="shared" si="39"/>
        <v>0.1019</v>
      </c>
      <c r="W38" s="89"/>
      <c r="X38" s="408">
        <f>IF(RIGHT(W$12,2)&lt;=RIGHT(ANALISIS!$D$15,2),ROUND(W38*$D38,2),0)</f>
        <v>0</v>
      </c>
      <c r="Y38" s="160">
        <f t="shared" si="40"/>
        <v>0</v>
      </c>
      <c r="Z38" s="97">
        <v>28</v>
      </c>
      <c r="AA38" s="412">
        <f>IF(RIGHT(Z$12,2)&lt;=RIGHT(ANALISIS!$D$15,2),ROUND(Z38*$D38,2),0)</f>
        <v>44688.56</v>
      </c>
      <c r="AB38" s="160">
        <f t="shared" si="41"/>
        <v>8.1500000000000003E-2</v>
      </c>
      <c r="AC38" s="97"/>
      <c r="AD38" s="412">
        <f>IF(RIGHT(AC$12,2)&lt;=RIGHT(ANALISIS!$D$15,2),ROUND(AC38*$D38,2),0)</f>
        <v>0</v>
      </c>
      <c r="AE38" s="160">
        <f t="shared" si="42"/>
        <v>0</v>
      </c>
      <c r="AF38" s="97"/>
      <c r="AG38" s="412">
        <f>IF(RIGHT(AF$12,2)&lt;=RIGHT(ANALISIS!$D$15,2),ROUND(AF38*$D38,2),0)</f>
        <v>0</v>
      </c>
      <c r="AH38" s="160">
        <f t="shared" si="43"/>
        <v>0</v>
      </c>
      <c r="AI38" s="97"/>
      <c r="AJ38" s="412">
        <f>IF(RIGHT(AI$12,2)&lt;=RIGHT(ANALISIS!$D$15,2),ROUND(AI38*$D38,2),0)</f>
        <v>0</v>
      </c>
      <c r="AK38" s="160">
        <f t="shared" si="44"/>
        <v>0</v>
      </c>
      <c r="AL38" s="97"/>
      <c r="AM38" s="412">
        <f>IF(RIGHT(AL$12,2)&lt;=RIGHT(ANALISIS!$D$15,2),ROUND(AL38*$D38,2),0)</f>
        <v>0</v>
      </c>
      <c r="AN38" s="160">
        <f t="shared" si="45"/>
        <v>0</v>
      </c>
      <c r="AO38" s="50">
        <f t="shared" si="46"/>
        <v>161</v>
      </c>
      <c r="AP38" s="413">
        <f t="shared" si="15"/>
        <v>256959.22</v>
      </c>
      <c r="AQ38" s="364">
        <f t="shared" si="50"/>
        <v>0.47</v>
      </c>
      <c r="AR38" s="364">
        <f t="shared" si="51"/>
        <v>0.47</v>
      </c>
      <c r="AT38" s="411">
        <f t="shared" si="47"/>
        <v>291353.45</v>
      </c>
      <c r="AU38" s="58">
        <f t="shared" si="48"/>
        <v>0.53</v>
      </c>
      <c r="AX38" s="23">
        <f ca="1">IF(AP38&lt;&gt;INDIRECT("'"&amp;ANALISIS!$D$15&amp;"'!P"&amp;ROW()),1,0)</f>
        <v>0</v>
      </c>
    </row>
    <row r="39" spans="1:50" ht="18" customHeight="1">
      <c r="A39" s="54">
        <f t="shared" si="52"/>
        <v>22</v>
      </c>
      <c r="B39" s="26" t="s">
        <v>44</v>
      </c>
      <c r="C39" s="27" t="s">
        <v>10</v>
      </c>
      <c r="D39" s="90">
        <v>638.48</v>
      </c>
      <c r="E39" s="90">
        <v>70.819999999999993</v>
      </c>
      <c r="F39" s="284">
        <f t="shared" si="34"/>
        <v>45217.15</v>
      </c>
      <c r="G39" s="372">
        <v>0</v>
      </c>
      <c r="H39" s="373">
        <v>70.819999999999993</v>
      </c>
      <c r="I39" s="373">
        <f t="shared" si="49"/>
        <v>45217.15</v>
      </c>
      <c r="J39" s="374">
        <f t="shared" si="35"/>
        <v>0</v>
      </c>
      <c r="K39" s="98"/>
      <c r="L39" s="412">
        <f>IF(RIGHT(K$12,2)&lt;=RIGHT(ANALISIS!$D$15,2),ROUND(K39*$D39,2),0)</f>
        <v>0</v>
      </c>
      <c r="M39" s="160">
        <f t="shared" si="36"/>
        <v>0</v>
      </c>
      <c r="N39" s="98"/>
      <c r="O39" s="408">
        <f>IF(RIGHT(N$12,2)&lt;=RIGHT(ANALISIS!$D$15,2),ROUND(N39*$D39,2),0)</f>
        <v>0</v>
      </c>
      <c r="P39" s="160">
        <f t="shared" si="37"/>
        <v>0</v>
      </c>
      <c r="Q39" s="98"/>
      <c r="R39" s="408">
        <f>IF(RIGHT(Q$12,2)&lt;=RIGHT(ANALISIS!$D$15,2),ROUND(Q39*$D39,2),0)</f>
        <v>0</v>
      </c>
      <c r="S39" s="160">
        <f t="shared" si="38"/>
        <v>0</v>
      </c>
      <c r="T39" s="89"/>
      <c r="U39" s="408">
        <f>IF(RIGHT(T$12,2)&lt;=RIGHT(ANALISIS!$D$15,2),ROUND(T39*$D39,2),0)</f>
        <v>0</v>
      </c>
      <c r="V39" s="160">
        <f t="shared" si="39"/>
        <v>0</v>
      </c>
      <c r="W39" s="89"/>
      <c r="X39" s="408">
        <f>IF(RIGHT(W$12,2)&lt;=RIGHT(ANALISIS!$D$15,2),ROUND(W39*$D39,2),0)</f>
        <v>0</v>
      </c>
      <c r="Y39" s="160">
        <f t="shared" si="40"/>
        <v>0</v>
      </c>
      <c r="Z39" s="97"/>
      <c r="AA39" s="412">
        <f>IF(RIGHT(Z$12,2)&lt;=RIGHT(ANALISIS!$D$15,2),ROUND(Z39*$D39,2),0)</f>
        <v>0</v>
      </c>
      <c r="AB39" s="160">
        <f t="shared" si="41"/>
        <v>0</v>
      </c>
      <c r="AC39" s="97"/>
      <c r="AD39" s="412">
        <f>IF(RIGHT(AC$12,2)&lt;=RIGHT(ANALISIS!$D$15,2),ROUND(AC39*$D39,2),0)</f>
        <v>0</v>
      </c>
      <c r="AE39" s="160">
        <f t="shared" si="42"/>
        <v>0</v>
      </c>
      <c r="AF39" s="97"/>
      <c r="AG39" s="412">
        <f>IF(RIGHT(AF$12,2)&lt;=RIGHT(ANALISIS!$D$15,2),ROUND(AF39*$D39,2),0)</f>
        <v>0</v>
      </c>
      <c r="AH39" s="160">
        <f t="shared" si="43"/>
        <v>0</v>
      </c>
      <c r="AI39" s="97"/>
      <c r="AJ39" s="412">
        <f>IF(RIGHT(AI$12,2)&lt;=RIGHT(ANALISIS!$D$15,2),ROUND(AI39*$D39,2),0)</f>
        <v>0</v>
      </c>
      <c r="AK39" s="160">
        <f t="shared" si="44"/>
        <v>0</v>
      </c>
      <c r="AL39" s="97"/>
      <c r="AM39" s="412">
        <f>IF(RIGHT(AL$12,2)&lt;=RIGHT(ANALISIS!$D$15,2),ROUND(AL39*$D39,2),0)</f>
        <v>0</v>
      </c>
      <c r="AN39" s="160">
        <f t="shared" si="45"/>
        <v>0</v>
      </c>
      <c r="AO39" s="50">
        <f t="shared" si="46"/>
        <v>0</v>
      </c>
      <c r="AP39" s="413">
        <f t="shared" si="15"/>
        <v>0</v>
      </c>
      <c r="AQ39" s="364">
        <f t="shared" si="50"/>
        <v>0</v>
      </c>
      <c r="AR39" s="364">
        <f t="shared" si="51"/>
        <v>0</v>
      </c>
      <c r="AT39" s="411">
        <f t="shared" si="47"/>
        <v>45217.15</v>
      </c>
      <c r="AU39" s="58">
        <f t="shared" si="48"/>
        <v>1</v>
      </c>
      <c r="AX39" s="23">
        <f ca="1">IF(AP39&lt;&gt;INDIRECT("'"&amp;ANALISIS!$D$15&amp;"'!P"&amp;ROW()),1,0)</f>
        <v>0</v>
      </c>
    </row>
    <row r="40" spans="1:50" ht="18" customHeight="1">
      <c r="A40" s="52">
        <f t="shared" si="52"/>
        <v>23</v>
      </c>
      <c r="B40" s="26" t="s">
        <v>45</v>
      </c>
      <c r="C40" s="29" t="s">
        <v>47</v>
      </c>
      <c r="D40" s="93">
        <v>44.35</v>
      </c>
      <c r="E40" s="93">
        <v>2726.08</v>
      </c>
      <c r="F40" s="284">
        <f t="shared" si="34"/>
        <v>120901.65</v>
      </c>
      <c r="G40" s="375">
        <v>0</v>
      </c>
      <c r="H40" s="376">
        <v>2726.08</v>
      </c>
      <c r="I40" s="376">
        <f t="shared" si="49"/>
        <v>120901.65</v>
      </c>
      <c r="J40" s="377">
        <f t="shared" si="35"/>
        <v>0</v>
      </c>
      <c r="K40" s="99"/>
      <c r="L40" s="417">
        <f>IF(RIGHT(K$12,2)&lt;=RIGHT(ANALISIS!$D$15,2),ROUND(K40*$D40,2),0)</f>
        <v>0</v>
      </c>
      <c r="M40" s="160">
        <f t="shared" si="36"/>
        <v>0</v>
      </c>
      <c r="N40" s="99"/>
      <c r="O40" s="415">
        <f>IF(RIGHT(N$12,2)&lt;=RIGHT(ANALISIS!$D$15,2),ROUND(N40*$D40,2),0)</f>
        <v>0</v>
      </c>
      <c r="P40" s="160">
        <f t="shared" si="37"/>
        <v>0</v>
      </c>
      <c r="Q40" s="99"/>
      <c r="R40" s="415">
        <f>IF(RIGHT(Q$12,2)&lt;=RIGHT(ANALISIS!$D$15,2),ROUND(Q40*$D40,2),0)</f>
        <v>0</v>
      </c>
      <c r="S40" s="160">
        <f t="shared" si="38"/>
        <v>0</v>
      </c>
      <c r="T40" s="89"/>
      <c r="U40" s="408">
        <f>IF(RIGHT(T$12,2)&lt;=RIGHT(ANALISIS!$D$15,2),ROUND(T40*$D40,2),0)</f>
        <v>0</v>
      </c>
      <c r="V40" s="160">
        <f t="shared" si="39"/>
        <v>0</v>
      </c>
      <c r="W40" s="89"/>
      <c r="X40" s="408">
        <f>IF(RIGHT(W$12,2)&lt;=RIGHT(ANALISIS!$D$15,2),ROUND(W40*$D40,2),0)</f>
        <v>0</v>
      </c>
      <c r="Y40" s="160">
        <f t="shared" si="40"/>
        <v>0</v>
      </c>
      <c r="Z40" s="100"/>
      <c r="AA40" s="417">
        <f>IF(RIGHT(Z$12,2)&lt;=RIGHT(ANALISIS!$D$15,2),ROUND(Z40*$D40,2),0)</f>
        <v>0</v>
      </c>
      <c r="AB40" s="160">
        <f t="shared" si="41"/>
        <v>0</v>
      </c>
      <c r="AC40" s="100"/>
      <c r="AD40" s="417">
        <f>IF(RIGHT(AC$12,2)&lt;=RIGHT(ANALISIS!$D$15,2),ROUND(AC40*$D40,2),0)</f>
        <v>0</v>
      </c>
      <c r="AE40" s="160">
        <f t="shared" si="42"/>
        <v>0</v>
      </c>
      <c r="AF40" s="100"/>
      <c r="AG40" s="417">
        <f>IF(RIGHT(AF$12,2)&lt;=RIGHT(ANALISIS!$D$15,2),ROUND(AF40*$D40,2),0)</f>
        <v>0</v>
      </c>
      <c r="AH40" s="160">
        <f t="shared" si="43"/>
        <v>0</v>
      </c>
      <c r="AI40" s="100"/>
      <c r="AJ40" s="417">
        <f>IF(RIGHT(AI$12,2)&lt;=RIGHT(ANALISIS!$D$15,2),ROUND(AI40*$D40,2),0)</f>
        <v>0</v>
      </c>
      <c r="AK40" s="160">
        <f t="shared" si="44"/>
        <v>0</v>
      </c>
      <c r="AL40" s="100"/>
      <c r="AM40" s="417">
        <f>IF(RIGHT(AL$12,2)&lt;=RIGHT(ANALISIS!$D$15,2),ROUND(AL40*$D40,2),0)</f>
        <v>0</v>
      </c>
      <c r="AN40" s="160">
        <f t="shared" si="45"/>
        <v>0</v>
      </c>
      <c r="AO40" s="59">
        <f t="shared" si="46"/>
        <v>0</v>
      </c>
      <c r="AP40" s="418">
        <f t="shared" si="15"/>
        <v>0</v>
      </c>
      <c r="AQ40" s="164">
        <f t="shared" si="50"/>
        <v>0</v>
      </c>
      <c r="AR40" s="164">
        <f t="shared" si="51"/>
        <v>0</v>
      </c>
      <c r="AT40" s="416">
        <f t="shared" si="47"/>
        <v>120901.65</v>
      </c>
      <c r="AU40" s="60">
        <f t="shared" si="48"/>
        <v>1</v>
      </c>
      <c r="AX40" s="23">
        <f ca="1">IF(AP40&lt;&gt;INDIRECT("'"&amp;ANALISIS!$D$15&amp;"'!P"&amp;ROW()),1,0)</f>
        <v>0</v>
      </c>
    </row>
    <row r="41" spans="1:50" ht="18" customHeight="1">
      <c r="A41" s="61"/>
      <c r="B41" s="62" t="s">
        <v>48</v>
      </c>
      <c r="C41" s="63"/>
      <c r="D41" s="66"/>
      <c r="E41" s="66"/>
      <c r="F41" s="69"/>
      <c r="G41" s="66"/>
      <c r="H41" s="69"/>
      <c r="I41" s="69"/>
      <c r="J41" s="72"/>
      <c r="K41" s="95"/>
      <c r="L41" s="419"/>
      <c r="M41" s="95"/>
      <c r="N41" s="95"/>
      <c r="O41" s="419"/>
      <c r="P41" s="95"/>
      <c r="Q41" s="95"/>
      <c r="R41" s="419"/>
      <c r="S41" s="95"/>
      <c r="T41" s="95"/>
      <c r="U41" s="419"/>
      <c r="V41" s="95"/>
      <c r="W41" s="96"/>
      <c r="X41" s="419"/>
      <c r="Y41" s="95"/>
      <c r="Z41" s="96"/>
      <c r="AA41" s="419"/>
      <c r="AB41" s="95"/>
      <c r="AC41" s="96"/>
      <c r="AD41" s="419"/>
      <c r="AE41" s="95"/>
      <c r="AF41" s="96"/>
      <c r="AG41" s="419"/>
      <c r="AH41" s="95"/>
      <c r="AI41" s="96"/>
      <c r="AJ41" s="419"/>
      <c r="AK41" s="95"/>
      <c r="AL41" s="96"/>
      <c r="AM41" s="419"/>
      <c r="AN41" s="95"/>
      <c r="AO41" s="79"/>
      <c r="AP41" s="421"/>
      <c r="AQ41" s="365"/>
      <c r="AR41" s="366"/>
      <c r="AT41" s="427"/>
      <c r="AU41" s="282"/>
      <c r="AX41" s="23">
        <f ca="1">IF(AP41&lt;&gt;INDIRECT("'"&amp;ANALISIS!$D$15&amp;"'!P"&amp;ROW()),1,0)</f>
        <v>0</v>
      </c>
    </row>
    <row r="42" spans="1:50" ht="18" customHeight="1">
      <c r="A42" s="53">
        <v>24</v>
      </c>
      <c r="B42" s="24" t="s">
        <v>17</v>
      </c>
      <c r="C42" s="27" t="s">
        <v>18</v>
      </c>
      <c r="D42" s="90">
        <v>47860.38</v>
      </c>
      <c r="E42" s="90">
        <v>1</v>
      </c>
      <c r="F42" s="284">
        <f t="shared" ref="F42:F55" si="53">ROUND(D42*E42,2)</f>
        <v>47860.38</v>
      </c>
      <c r="G42" s="369">
        <v>0</v>
      </c>
      <c r="H42" s="370">
        <v>1</v>
      </c>
      <c r="I42" s="370">
        <f t="shared" ref="I42:I55" si="54">ROUND(H42*D42,2)</f>
        <v>47860.38</v>
      </c>
      <c r="J42" s="371">
        <f t="shared" ref="J42:J55" si="55">G42/E42</f>
        <v>0</v>
      </c>
      <c r="K42" s="101">
        <v>1</v>
      </c>
      <c r="L42" s="406">
        <f>IF(RIGHT(K$12,2)&lt;=RIGHT(ANALISIS!$D$15,2),ROUND(K42*$D42,2),0)</f>
        <v>47860.38</v>
      </c>
      <c r="M42" s="159">
        <f t="shared" ref="M42:M55" si="56">IFERROR(ROUND(L42/$I42,4),"")</f>
        <v>1</v>
      </c>
      <c r="N42" s="101"/>
      <c r="O42" s="406">
        <f>IF(RIGHT(N$12,2)&lt;=RIGHT(ANALISIS!$D$15,2),ROUND(N42*$D42,2),0)</f>
        <v>0</v>
      </c>
      <c r="P42" s="159">
        <f t="shared" ref="P42:P55" si="57">IFERROR(ROUND(O42/$I42,4),"")</f>
        <v>0</v>
      </c>
      <c r="Q42" s="101"/>
      <c r="R42" s="406">
        <f>IF(RIGHT(Q$12,2)&lt;=RIGHT(ANALISIS!$D$15,2),ROUND(Q42*$D42,2),0)</f>
        <v>0</v>
      </c>
      <c r="S42" s="159">
        <f t="shared" ref="S42:S55" si="58">IFERROR(ROUND(R42/$I42,4),"")</f>
        <v>0</v>
      </c>
      <c r="T42" s="89"/>
      <c r="U42" s="408">
        <f>IF(RIGHT(T$12,2)&lt;=RIGHT(ANALISIS!$D$15,2),ROUND(T42*$D42,2),0)</f>
        <v>0</v>
      </c>
      <c r="V42" s="159">
        <f t="shared" ref="V42:V55" si="59">IFERROR(ROUND(U42/$I42,4),"")</f>
        <v>0</v>
      </c>
      <c r="W42" s="89"/>
      <c r="X42" s="408">
        <f>IF(RIGHT(W$12,2)&lt;=RIGHT(ANALISIS!$D$15,2),ROUND(W42*$D42,2),0)</f>
        <v>0</v>
      </c>
      <c r="Y42" s="159">
        <f t="shared" ref="Y42:Y55" si="60">IFERROR(ROUND(X42/$I42,4),"")</f>
        <v>0</v>
      </c>
      <c r="Z42" s="101"/>
      <c r="AA42" s="423">
        <f>IF(RIGHT(Z$12,2)&lt;=RIGHT(ANALISIS!$D$15,2),ROUND(Z42*$D42,2),0)</f>
        <v>0</v>
      </c>
      <c r="AB42" s="159">
        <f t="shared" ref="AB42:AB55" si="61">IFERROR(ROUND(AA42/$I42,4),"")</f>
        <v>0</v>
      </c>
      <c r="AC42" s="101"/>
      <c r="AD42" s="423">
        <f>IF(RIGHT(AC$12,2)&lt;=RIGHT(ANALISIS!$D$15,2),ROUND(AC42*$D42,2),0)</f>
        <v>0</v>
      </c>
      <c r="AE42" s="159">
        <f t="shared" ref="AE42:AE55" si="62">IFERROR(ROUND(AD42/$I42,4),"")</f>
        <v>0</v>
      </c>
      <c r="AF42" s="101"/>
      <c r="AG42" s="423">
        <f>IF(RIGHT(AF$12,2)&lt;=RIGHT(ANALISIS!$D$15,2),ROUND(AF42*$D42,2),0)</f>
        <v>0</v>
      </c>
      <c r="AH42" s="159">
        <f t="shared" ref="AH42:AH55" si="63">IFERROR(ROUND(AG42/$I42,4),"")</f>
        <v>0</v>
      </c>
      <c r="AI42" s="101"/>
      <c r="AJ42" s="423">
        <f>IF(RIGHT(AI$12,2)&lt;=RIGHT(ANALISIS!$D$15,2),ROUND(AI42*$D42,2),0)</f>
        <v>0</v>
      </c>
      <c r="AK42" s="159">
        <f t="shared" ref="AK42:AK55" si="64">IFERROR(ROUND(AJ42/$I42,4),"")</f>
        <v>0</v>
      </c>
      <c r="AL42" s="101"/>
      <c r="AM42" s="423">
        <f>IF(RIGHT(AL$12,2)&lt;=RIGHT(ANALISIS!$D$15,2),ROUND(AL42*$D42,2),0)</f>
        <v>0</v>
      </c>
      <c r="AN42" s="159">
        <f t="shared" ref="AN42:AN55" si="65">IFERROR(ROUND(AM42/$I42,4),"")</f>
        <v>0</v>
      </c>
      <c r="AO42" s="56">
        <f t="shared" ref="AO42:AO55" si="66">K42+N42+Q42+T42+W42+Z42+AL42</f>
        <v>1</v>
      </c>
      <c r="AP42" s="410">
        <f t="shared" si="15"/>
        <v>47860.38</v>
      </c>
      <c r="AQ42" s="363">
        <f t="shared" ref="AQ42:AQ55" si="67">IFERROR(ROUND(AO42/H42,4),"")</f>
        <v>1</v>
      </c>
      <c r="AR42" s="363">
        <f t="shared" ref="AR42:AR55" si="68">IFERROR(ROUND(AP42/I42,4),"")</f>
        <v>1</v>
      </c>
      <c r="AT42" s="407">
        <f t="shared" si="47"/>
        <v>0</v>
      </c>
      <c r="AU42" s="57">
        <f t="shared" ref="AU42:AU55" si="69">IFERROR(AT42/I42,"")</f>
        <v>0</v>
      </c>
      <c r="AX42" s="23">
        <f ca="1">IF(AP42&lt;&gt;INDIRECT("'"&amp;ANALISIS!$D$15&amp;"'!P"&amp;ROW()),1,0)</f>
        <v>0</v>
      </c>
    </row>
    <row r="43" spans="1:50" ht="18" customHeight="1">
      <c r="A43" s="54">
        <f>1+A42</f>
        <v>25</v>
      </c>
      <c r="B43" s="26" t="s">
        <v>32</v>
      </c>
      <c r="C43" s="27" t="s">
        <v>18</v>
      </c>
      <c r="D43" s="90">
        <v>3848.37</v>
      </c>
      <c r="E43" s="90">
        <v>1</v>
      </c>
      <c r="F43" s="284">
        <f t="shared" si="53"/>
        <v>3848.37</v>
      </c>
      <c r="G43" s="372">
        <v>0</v>
      </c>
      <c r="H43" s="373">
        <v>1</v>
      </c>
      <c r="I43" s="373">
        <f t="shared" si="54"/>
        <v>3848.37</v>
      </c>
      <c r="J43" s="374">
        <f t="shared" si="55"/>
        <v>0</v>
      </c>
      <c r="K43" s="97">
        <v>1</v>
      </c>
      <c r="L43" s="408">
        <f>IF(RIGHT(K$12,2)&lt;=RIGHT(ANALISIS!$D$15,2),ROUND(K43*$D43,2),0)</f>
        <v>3848.37</v>
      </c>
      <c r="M43" s="160">
        <f t="shared" si="56"/>
        <v>1</v>
      </c>
      <c r="N43" s="97"/>
      <c r="O43" s="408">
        <f>IF(RIGHT(N$12,2)&lt;=RIGHT(ANALISIS!$D$15,2),ROUND(N43*$D43,2),0)</f>
        <v>0</v>
      </c>
      <c r="P43" s="160">
        <f t="shared" si="57"/>
        <v>0</v>
      </c>
      <c r="Q43" s="97"/>
      <c r="R43" s="408">
        <f>IF(RIGHT(Q$12,2)&lt;=RIGHT(ANALISIS!$D$15,2),ROUND(Q43*$D43,2),0)</f>
        <v>0</v>
      </c>
      <c r="S43" s="160">
        <f t="shared" si="58"/>
        <v>0</v>
      </c>
      <c r="T43" s="89"/>
      <c r="U43" s="408">
        <f>IF(RIGHT(T$12,2)&lt;=RIGHT(ANALISIS!$D$15,2),ROUND(T43*$D43,2),0)</f>
        <v>0</v>
      </c>
      <c r="V43" s="160">
        <f t="shared" si="59"/>
        <v>0</v>
      </c>
      <c r="W43" s="89"/>
      <c r="X43" s="408">
        <f>IF(RIGHT(W$12,2)&lt;=RIGHT(ANALISIS!$D$15,2),ROUND(W43*$D43,2),0)</f>
        <v>0</v>
      </c>
      <c r="Y43" s="160">
        <f t="shared" si="60"/>
        <v>0</v>
      </c>
      <c r="Z43" s="97"/>
      <c r="AA43" s="412">
        <f>IF(RIGHT(Z$12,2)&lt;=RIGHT(ANALISIS!$D$15,2),ROUND(Z43*$D43,2),0)</f>
        <v>0</v>
      </c>
      <c r="AB43" s="160">
        <f t="shared" si="61"/>
        <v>0</v>
      </c>
      <c r="AC43" s="97"/>
      <c r="AD43" s="412">
        <f>IF(RIGHT(AC$12,2)&lt;=RIGHT(ANALISIS!$D$15,2),ROUND(AC43*$D43,2),0)</f>
        <v>0</v>
      </c>
      <c r="AE43" s="160">
        <f t="shared" si="62"/>
        <v>0</v>
      </c>
      <c r="AF43" s="97"/>
      <c r="AG43" s="412">
        <f>IF(RIGHT(AF$12,2)&lt;=RIGHT(ANALISIS!$D$15,2),ROUND(AF43*$D43,2),0)</f>
        <v>0</v>
      </c>
      <c r="AH43" s="160">
        <f t="shared" si="63"/>
        <v>0</v>
      </c>
      <c r="AI43" s="97"/>
      <c r="AJ43" s="412">
        <f>IF(RIGHT(AI$12,2)&lt;=RIGHT(ANALISIS!$D$15,2),ROUND(AI43*$D43,2),0)</f>
        <v>0</v>
      </c>
      <c r="AK43" s="160">
        <f t="shared" si="64"/>
        <v>0</v>
      </c>
      <c r="AL43" s="97"/>
      <c r="AM43" s="412">
        <f>IF(RIGHT(AL$12,2)&lt;=RIGHT(ANALISIS!$D$15,2),ROUND(AL43*$D43,2),0)</f>
        <v>0</v>
      </c>
      <c r="AN43" s="160">
        <f t="shared" si="65"/>
        <v>0</v>
      </c>
      <c r="AO43" s="50">
        <f t="shared" si="66"/>
        <v>1</v>
      </c>
      <c r="AP43" s="413">
        <f t="shared" si="15"/>
        <v>3848.37</v>
      </c>
      <c r="AQ43" s="364">
        <f t="shared" si="67"/>
        <v>1</v>
      </c>
      <c r="AR43" s="364">
        <f t="shared" si="68"/>
        <v>1</v>
      </c>
      <c r="AT43" s="411">
        <f t="shared" si="47"/>
        <v>0</v>
      </c>
      <c r="AU43" s="58">
        <f t="shared" si="69"/>
        <v>0</v>
      </c>
      <c r="AX43" s="23">
        <f ca="1">IF(AP43&lt;&gt;INDIRECT("'"&amp;ANALISIS!$D$15&amp;"'!P"&amp;ROW()),1,0)</f>
        <v>0</v>
      </c>
    </row>
    <row r="44" spans="1:50" ht="18" customHeight="1">
      <c r="A44" s="54">
        <f t="shared" ref="A44:A55" si="70">1+A43</f>
        <v>26</v>
      </c>
      <c r="B44" s="26" t="s">
        <v>49</v>
      </c>
      <c r="C44" s="27" t="s">
        <v>10</v>
      </c>
      <c r="D44" s="90">
        <v>27.03</v>
      </c>
      <c r="E44" s="90">
        <v>797</v>
      </c>
      <c r="F44" s="284">
        <f t="shared" si="53"/>
        <v>21542.91</v>
      </c>
      <c r="G44" s="380">
        <v>295.10000000000002</v>
      </c>
      <c r="H44" s="373">
        <v>1092.0999999999999</v>
      </c>
      <c r="I44" s="373">
        <f t="shared" si="54"/>
        <v>29519.46</v>
      </c>
      <c r="J44" s="374">
        <f t="shared" si="55"/>
        <v>0.37030000000000002</v>
      </c>
      <c r="K44" s="98"/>
      <c r="L44" s="412">
        <f>IF(RIGHT(K$12,2)&lt;=RIGHT(ANALISIS!$D$15,2),ROUND(K44*$D44,2),0)</f>
        <v>0</v>
      </c>
      <c r="M44" s="160">
        <f t="shared" si="56"/>
        <v>0</v>
      </c>
      <c r="N44" s="97"/>
      <c r="O44" s="412">
        <f>IF(RIGHT(N$12,2)&lt;=RIGHT(ANALISIS!$D$15,2),ROUND(N44*$D44,2),0)</f>
        <v>0</v>
      </c>
      <c r="P44" s="160">
        <f t="shared" si="57"/>
        <v>0</v>
      </c>
      <c r="Q44" s="97"/>
      <c r="R44" s="412">
        <f>IF(RIGHT(Q$12,2)&lt;=RIGHT(ANALISIS!$D$15,2),ROUND(Q44*$D44,2),0)</f>
        <v>0</v>
      </c>
      <c r="S44" s="160">
        <f t="shared" si="58"/>
        <v>0</v>
      </c>
      <c r="T44" s="89"/>
      <c r="U44" s="408">
        <f>IF(RIGHT(T$12,2)&lt;=RIGHT(ANALISIS!$D$15,2),ROUND(T44*$D44,2),0)</f>
        <v>0</v>
      </c>
      <c r="V44" s="160">
        <f t="shared" si="59"/>
        <v>0</v>
      </c>
      <c r="W44" s="89"/>
      <c r="X44" s="408">
        <f>IF(RIGHT(W$12,2)&lt;=RIGHT(ANALISIS!$D$15,2),ROUND(W44*$D44,2),0)</f>
        <v>0</v>
      </c>
      <c r="Y44" s="160">
        <f t="shared" si="60"/>
        <v>0</v>
      </c>
      <c r="Z44" s="97">
        <v>1005.2</v>
      </c>
      <c r="AA44" s="412">
        <f>IF(RIGHT(Z$12,2)&lt;=RIGHT(ANALISIS!$D$15,2),ROUND(Z44*$D44,2),0)</f>
        <v>27170.560000000001</v>
      </c>
      <c r="AB44" s="160">
        <f t="shared" si="61"/>
        <v>0.9204</v>
      </c>
      <c r="AC44" s="97"/>
      <c r="AD44" s="412">
        <f>IF(RIGHT(AC$12,2)&lt;=RIGHT(ANALISIS!$D$15,2),ROUND(AC44*$D44,2),0)</f>
        <v>0</v>
      </c>
      <c r="AE44" s="160">
        <f t="shared" si="62"/>
        <v>0</v>
      </c>
      <c r="AF44" s="97"/>
      <c r="AG44" s="412">
        <f>IF(RIGHT(AF$12,2)&lt;=RIGHT(ANALISIS!$D$15,2),ROUND(AF44*$D44,2),0)</f>
        <v>0</v>
      </c>
      <c r="AH44" s="160">
        <f t="shared" si="63"/>
        <v>0</v>
      </c>
      <c r="AI44" s="97"/>
      <c r="AJ44" s="412">
        <f>IF(RIGHT(AI$12,2)&lt;=RIGHT(ANALISIS!$D$15,2),ROUND(AI44*$D44,2),0)</f>
        <v>0</v>
      </c>
      <c r="AK44" s="160">
        <f t="shared" si="64"/>
        <v>0</v>
      </c>
      <c r="AL44" s="97"/>
      <c r="AM44" s="412">
        <f>IF(RIGHT(AL$12,2)&lt;=RIGHT(ANALISIS!$D$15,2),ROUND(AL44*$D44,2),0)</f>
        <v>0</v>
      </c>
      <c r="AN44" s="160">
        <f t="shared" si="65"/>
        <v>0</v>
      </c>
      <c r="AO44" s="50">
        <f t="shared" si="66"/>
        <v>1005.2</v>
      </c>
      <c r="AP44" s="413">
        <f t="shared" si="15"/>
        <v>27170.560000000001</v>
      </c>
      <c r="AQ44" s="364">
        <f t="shared" si="67"/>
        <v>0.92</v>
      </c>
      <c r="AR44" s="364">
        <f t="shared" si="68"/>
        <v>0.92</v>
      </c>
      <c r="AT44" s="411">
        <f t="shared" si="47"/>
        <v>2348.9</v>
      </c>
      <c r="AU44" s="58">
        <f t="shared" si="69"/>
        <v>0.08</v>
      </c>
      <c r="AX44" s="23">
        <f ca="1">IF(AP44&lt;&gt;INDIRECT("'"&amp;ANALISIS!$D$15&amp;"'!P"&amp;ROW()),1,0)</f>
        <v>0</v>
      </c>
    </row>
    <row r="45" spans="1:50" ht="18" customHeight="1">
      <c r="A45" s="54">
        <f t="shared" si="70"/>
        <v>27</v>
      </c>
      <c r="B45" s="26" t="s">
        <v>35</v>
      </c>
      <c r="C45" s="27" t="s">
        <v>10</v>
      </c>
      <c r="D45" s="90">
        <v>1801.53</v>
      </c>
      <c r="E45" s="90">
        <v>486.72</v>
      </c>
      <c r="F45" s="284">
        <f t="shared" si="53"/>
        <v>876840.68</v>
      </c>
      <c r="G45" s="372">
        <v>150.13999999999999</v>
      </c>
      <c r="H45" s="373">
        <v>636.86</v>
      </c>
      <c r="I45" s="373">
        <f t="shared" si="54"/>
        <v>1147322.3999999999</v>
      </c>
      <c r="J45" s="374">
        <f t="shared" si="55"/>
        <v>0.3085</v>
      </c>
      <c r="K45" s="98"/>
      <c r="L45" s="412">
        <f>IF(RIGHT(K$12,2)&lt;=RIGHT(ANALISIS!$D$15,2),ROUND(K45*$D45,2),0)</f>
        <v>0</v>
      </c>
      <c r="M45" s="160">
        <f t="shared" si="56"/>
        <v>0</v>
      </c>
      <c r="N45" s="97"/>
      <c r="O45" s="412">
        <f>IF(RIGHT(N$12,2)&lt;=RIGHT(ANALISIS!$D$15,2),ROUND(N45*$D45,2),0)</f>
        <v>0</v>
      </c>
      <c r="P45" s="160">
        <f t="shared" si="57"/>
        <v>0</v>
      </c>
      <c r="Q45" s="97"/>
      <c r="R45" s="412">
        <f>IF(RIGHT(Q$12,2)&lt;=RIGHT(ANALISIS!$D$15,2),ROUND(Q45*$D45,2),0)</f>
        <v>0</v>
      </c>
      <c r="S45" s="160">
        <f t="shared" si="58"/>
        <v>0</v>
      </c>
      <c r="T45" s="89"/>
      <c r="U45" s="408">
        <f>IF(RIGHT(T$12,2)&lt;=RIGHT(ANALISIS!$D$15,2),ROUND(T45*$D45,2),0)</f>
        <v>0</v>
      </c>
      <c r="V45" s="160">
        <f t="shared" si="59"/>
        <v>0</v>
      </c>
      <c r="W45" s="89"/>
      <c r="X45" s="408">
        <f>IF(RIGHT(W$12,2)&lt;=RIGHT(ANALISIS!$D$15,2),ROUND(W45*$D45,2),0)</f>
        <v>0</v>
      </c>
      <c r="Y45" s="160">
        <f t="shared" si="60"/>
        <v>0</v>
      </c>
      <c r="Z45" s="97">
        <v>480.13</v>
      </c>
      <c r="AA45" s="412">
        <f>IF(RIGHT(Z$12,2)&lt;=RIGHT(ANALISIS!$D$15,2),ROUND(Z45*$D45,2),0)</f>
        <v>864968.6</v>
      </c>
      <c r="AB45" s="160">
        <f t="shared" si="61"/>
        <v>0.75390000000000001</v>
      </c>
      <c r="AC45" s="97">
        <v>81.72</v>
      </c>
      <c r="AD45" s="412">
        <f>IF(RIGHT(AC$12,2)&lt;=RIGHT(ANALISIS!$D$15,2),ROUND(AC45*$D45,2),0)</f>
        <v>147221.03</v>
      </c>
      <c r="AE45" s="160">
        <f t="shared" si="62"/>
        <v>0.1283</v>
      </c>
      <c r="AF45" s="97"/>
      <c r="AG45" s="412">
        <f>IF(RIGHT(AF$12,2)&lt;=RIGHT(ANALISIS!$D$15,2),ROUND(AF45*$D45,2),0)</f>
        <v>0</v>
      </c>
      <c r="AH45" s="160">
        <f t="shared" si="63"/>
        <v>0</v>
      </c>
      <c r="AI45" s="97"/>
      <c r="AJ45" s="412">
        <f>IF(RIGHT(AI$12,2)&lt;=RIGHT(ANALISIS!$D$15,2),ROUND(AI45*$D45,2),0)</f>
        <v>0</v>
      </c>
      <c r="AK45" s="160">
        <f t="shared" si="64"/>
        <v>0</v>
      </c>
      <c r="AL45" s="97"/>
      <c r="AM45" s="412">
        <f>IF(RIGHT(AL$12,2)&lt;=RIGHT(ANALISIS!$D$15,2),ROUND(AL45*$D45,2),0)</f>
        <v>0</v>
      </c>
      <c r="AN45" s="160">
        <f t="shared" si="65"/>
        <v>0</v>
      </c>
      <c r="AO45" s="50">
        <f t="shared" si="66"/>
        <v>480.13</v>
      </c>
      <c r="AP45" s="413">
        <f t="shared" si="15"/>
        <v>1012189.63</v>
      </c>
      <c r="AQ45" s="364">
        <f t="shared" si="67"/>
        <v>0.75</v>
      </c>
      <c r="AR45" s="364">
        <f t="shared" si="68"/>
        <v>0.88</v>
      </c>
      <c r="AT45" s="411">
        <f t="shared" si="47"/>
        <v>135132.76999999999</v>
      </c>
      <c r="AU45" s="58">
        <f t="shared" si="69"/>
        <v>0.12</v>
      </c>
      <c r="AX45" s="23">
        <f ca="1">IF(AP45&lt;&gt;INDIRECT("'"&amp;ANALISIS!$D$15&amp;"'!P"&amp;ROW()),1,0)</f>
        <v>0</v>
      </c>
    </row>
    <row r="46" spans="1:50" ht="18" customHeight="1">
      <c r="A46" s="54">
        <f t="shared" si="70"/>
        <v>28</v>
      </c>
      <c r="B46" s="26" t="s">
        <v>36</v>
      </c>
      <c r="C46" s="27" t="s">
        <v>46</v>
      </c>
      <c r="D46" s="90">
        <v>15.35</v>
      </c>
      <c r="E46" s="90">
        <v>31927.89</v>
      </c>
      <c r="F46" s="284">
        <f t="shared" si="53"/>
        <v>490093.11</v>
      </c>
      <c r="G46" s="372">
        <v>-984.49</v>
      </c>
      <c r="H46" s="373">
        <v>30943.4</v>
      </c>
      <c r="I46" s="373">
        <f t="shared" si="54"/>
        <v>474981.19</v>
      </c>
      <c r="J46" s="374">
        <f t="shared" si="55"/>
        <v>-3.0800000000000001E-2</v>
      </c>
      <c r="K46" s="98"/>
      <c r="L46" s="412">
        <f>IF(RIGHT(K$12,2)&lt;=RIGHT(ANALISIS!$D$15,2),ROUND(K46*$D46,2),0)</f>
        <v>0</v>
      </c>
      <c r="M46" s="160">
        <f t="shared" si="56"/>
        <v>0</v>
      </c>
      <c r="N46" s="97"/>
      <c r="O46" s="412">
        <f>IF(RIGHT(N$12,2)&lt;=RIGHT(ANALISIS!$D$15,2),ROUND(N46*$D46,2),0)</f>
        <v>0</v>
      </c>
      <c r="P46" s="160">
        <f t="shared" si="57"/>
        <v>0</v>
      </c>
      <c r="Q46" s="97"/>
      <c r="R46" s="412">
        <f>IF(RIGHT(Q$12,2)&lt;=RIGHT(ANALISIS!$D$15,2),ROUND(Q46*$D46,2),0)</f>
        <v>0</v>
      </c>
      <c r="S46" s="160">
        <f t="shared" si="58"/>
        <v>0</v>
      </c>
      <c r="T46" s="89">
        <v>6315.96</v>
      </c>
      <c r="U46" s="408">
        <f>IF(RIGHT(T$12,2)&lt;=RIGHT(ANALISIS!$D$15,2),ROUND(T46*$D46,2),0)</f>
        <v>96949.99</v>
      </c>
      <c r="V46" s="160">
        <f t="shared" si="59"/>
        <v>0.2041</v>
      </c>
      <c r="W46" s="89"/>
      <c r="X46" s="408">
        <f>IF(RIGHT(W$12,2)&lt;=RIGHT(ANALISIS!$D$15,2),ROUND(W46*$D46,2),0)</f>
        <v>0</v>
      </c>
      <c r="Y46" s="160">
        <f t="shared" si="60"/>
        <v>0</v>
      </c>
      <c r="Z46" s="97">
        <v>15312</v>
      </c>
      <c r="AA46" s="412">
        <f>IF(RIGHT(Z$12,2)&lt;=RIGHT(ANALISIS!$D$15,2),ROUND(Z46*$D46,2),0)</f>
        <v>235039.2</v>
      </c>
      <c r="AB46" s="160">
        <f t="shared" si="61"/>
        <v>0.49480000000000002</v>
      </c>
      <c r="AC46" s="97">
        <v>7634.9</v>
      </c>
      <c r="AD46" s="412">
        <f>IF(RIGHT(AC$12,2)&lt;=RIGHT(ANALISIS!$D$15,2),ROUND(AC46*$D46,2),0)</f>
        <v>117195.72</v>
      </c>
      <c r="AE46" s="160">
        <f t="shared" si="62"/>
        <v>0.2467</v>
      </c>
      <c r="AF46" s="97"/>
      <c r="AG46" s="412">
        <f>IF(RIGHT(AF$12,2)&lt;=RIGHT(ANALISIS!$D$15,2),ROUND(AF46*$D46,2),0)</f>
        <v>0</v>
      </c>
      <c r="AH46" s="160">
        <f t="shared" si="63"/>
        <v>0</v>
      </c>
      <c r="AI46" s="97"/>
      <c r="AJ46" s="412">
        <f>IF(RIGHT(AI$12,2)&lt;=RIGHT(ANALISIS!$D$15,2),ROUND(AI46*$D46,2),0)</f>
        <v>0</v>
      </c>
      <c r="AK46" s="160">
        <f t="shared" si="64"/>
        <v>0</v>
      </c>
      <c r="AL46" s="97"/>
      <c r="AM46" s="412">
        <f>IF(RIGHT(AL$12,2)&lt;=RIGHT(ANALISIS!$D$15,2),ROUND(AL46*$D46,2),0)</f>
        <v>0</v>
      </c>
      <c r="AN46" s="160">
        <f t="shared" si="65"/>
        <v>0</v>
      </c>
      <c r="AO46" s="50">
        <f t="shared" si="66"/>
        <v>21627.96</v>
      </c>
      <c r="AP46" s="413">
        <f t="shared" si="15"/>
        <v>449184.91</v>
      </c>
      <c r="AQ46" s="364">
        <f t="shared" si="67"/>
        <v>0.7</v>
      </c>
      <c r="AR46" s="364">
        <f t="shared" si="68"/>
        <v>0.95</v>
      </c>
      <c r="AT46" s="411">
        <f t="shared" si="47"/>
        <v>25796.28</v>
      </c>
      <c r="AU46" s="58">
        <f t="shared" si="69"/>
        <v>0.05</v>
      </c>
      <c r="AX46" s="23">
        <f ca="1">IF(AP46&lt;&gt;INDIRECT("'"&amp;ANALISIS!$D$15&amp;"'!P"&amp;ROW()),1,0)</f>
        <v>0</v>
      </c>
    </row>
    <row r="47" spans="1:50" ht="18" customHeight="1">
      <c r="A47" s="54">
        <f t="shared" si="70"/>
        <v>29</v>
      </c>
      <c r="B47" s="26" t="s">
        <v>50</v>
      </c>
      <c r="C47" s="27" t="s">
        <v>47</v>
      </c>
      <c r="D47" s="90">
        <v>3943.09</v>
      </c>
      <c r="E47" s="90">
        <v>105</v>
      </c>
      <c r="F47" s="284">
        <f t="shared" si="53"/>
        <v>414024.45</v>
      </c>
      <c r="G47" s="372">
        <v>35</v>
      </c>
      <c r="H47" s="373">
        <v>140</v>
      </c>
      <c r="I47" s="373">
        <f t="shared" si="54"/>
        <v>552032.6</v>
      </c>
      <c r="J47" s="374">
        <f t="shared" si="55"/>
        <v>0.33329999999999999</v>
      </c>
      <c r="K47" s="98"/>
      <c r="L47" s="412">
        <f>IF(RIGHT(K$12,2)&lt;=RIGHT(ANALISIS!$D$15,2),ROUND(K47*$D47,2),0)</f>
        <v>0</v>
      </c>
      <c r="M47" s="160">
        <f t="shared" si="56"/>
        <v>0</v>
      </c>
      <c r="N47" s="97"/>
      <c r="O47" s="412">
        <f>IF(RIGHT(N$12,2)&lt;=RIGHT(ANALISIS!$D$15,2),ROUND(N47*$D47,2),0)</f>
        <v>0</v>
      </c>
      <c r="P47" s="160">
        <f t="shared" si="57"/>
        <v>0</v>
      </c>
      <c r="Q47" s="97"/>
      <c r="R47" s="412">
        <f>IF(RIGHT(Q$12,2)&lt;=RIGHT(ANALISIS!$D$15,2),ROUND(Q47*$D47,2),0)</f>
        <v>0</v>
      </c>
      <c r="S47" s="160">
        <f t="shared" si="58"/>
        <v>0</v>
      </c>
      <c r="T47" s="89"/>
      <c r="U47" s="408">
        <f>IF(RIGHT(T$12,2)&lt;=RIGHT(ANALISIS!$D$15,2),ROUND(T47*$D47,2),0)</f>
        <v>0</v>
      </c>
      <c r="V47" s="160">
        <f t="shared" si="59"/>
        <v>0</v>
      </c>
      <c r="W47" s="89">
        <v>140</v>
      </c>
      <c r="X47" s="408">
        <f>IF(RIGHT(W$12,2)&lt;=RIGHT(ANALISIS!$D$15,2),ROUND(W47*$D47,2),0)</f>
        <v>552032.6</v>
      </c>
      <c r="Y47" s="160">
        <f t="shared" si="60"/>
        <v>1</v>
      </c>
      <c r="Z47" s="97"/>
      <c r="AA47" s="412">
        <f>IF(RIGHT(Z$12,2)&lt;=RIGHT(ANALISIS!$D$15,2),ROUND(Z47*$D47,2),0)</f>
        <v>0</v>
      </c>
      <c r="AB47" s="160">
        <f t="shared" si="61"/>
        <v>0</v>
      </c>
      <c r="AC47" s="97"/>
      <c r="AD47" s="412">
        <f>IF(RIGHT(AC$12,2)&lt;=RIGHT(ANALISIS!$D$15,2),ROUND(AC47*$D47,2),0)</f>
        <v>0</v>
      </c>
      <c r="AE47" s="160">
        <f t="shared" si="62"/>
        <v>0</v>
      </c>
      <c r="AF47" s="97"/>
      <c r="AG47" s="412">
        <f>IF(RIGHT(AF$12,2)&lt;=RIGHT(ANALISIS!$D$15,2),ROUND(AF47*$D47,2),0)</f>
        <v>0</v>
      </c>
      <c r="AH47" s="160">
        <f t="shared" si="63"/>
        <v>0</v>
      </c>
      <c r="AI47" s="97"/>
      <c r="AJ47" s="412">
        <f>IF(RIGHT(AI$12,2)&lt;=RIGHT(ANALISIS!$D$15,2),ROUND(AI47*$D47,2),0)</f>
        <v>0</v>
      </c>
      <c r="AK47" s="160">
        <f t="shared" si="64"/>
        <v>0</v>
      </c>
      <c r="AL47" s="97"/>
      <c r="AM47" s="412">
        <f>IF(RIGHT(AL$12,2)&lt;=RIGHT(ANALISIS!$D$15,2),ROUND(AL47*$D47,2),0)</f>
        <v>0</v>
      </c>
      <c r="AN47" s="160">
        <f t="shared" si="65"/>
        <v>0</v>
      </c>
      <c r="AO47" s="50">
        <f t="shared" si="66"/>
        <v>140</v>
      </c>
      <c r="AP47" s="413">
        <f t="shared" si="15"/>
        <v>552032.6</v>
      </c>
      <c r="AQ47" s="364">
        <f t="shared" si="67"/>
        <v>1</v>
      </c>
      <c r="AR47" s="364">
        <f t="shared" si="68"/>
        <v>1</v>
      </c>
      <c r="AT47" s="411">
        <f t="shared" si="47"/>
        <v>0</v>
      </c>
      <c r="AU47" s="58">
        <f t="shared" si="69"/>
        <v>0</v>
      </c>
      <c r="AX47" s="23">
        <f ca="1">IF(AP47&lt;&gt;INDIRECT("'"&amp;ANALISIS!$D$15&amp;"'!P"&amp;ROW()),1,0)</f>
        <v>0</v>
      </c>
    </row>
    <row r="48" spans="1:50" ht="18" customHeight="1">
      <c r="A48" s="54">
        <f t="shared" si="70"/>
        <v>30</v>
      </c>
      <c r="B48" s="26" t="s">
        <v>51</v>
      </c>
      <c r="C48" s="27" t="s">
        <v>58</v>
      </c>
      <c r="D48" s="90">
        <v>403.4</v>
      </c>
      <c r="E48" s="90">
        <v>48</v>
      </c>
      <c r="F48" s="284">
        <f t="shared" si="53"/>
        <v>19363.2</v>
      </c>
      <c r="G48" s="372">
        <v>16</v>
      </c>
      <c r="H48" s="373">
        <v>64</v>
      </c>
      <c r="I48" s="373">
        <f t="shared" si="54"/>
        <v>25817.599999999999</v>
      </c>
      <c r="J48" s="374">
        <f t="shared" si="55"/>
        <v>0.33329999999999999</v>
      </c>
      <c r="K48" s="98"/>
      <c r="L48" s="412">
        <f>IF(RIGHT(K$12,2)&lt;=RIGHT(ANALISIS!$D$15,2),ROUND(K48*$D48,2),0)</f>
        <v>0</v>
      </c>
      <c r="M48" s="160">
        <f t="shared" si="56"/>
        <v>0</v>
      </c>
      <c r="N48" s="97"/>
      <c r="O48" s="412">
        <f>IF(RIGHT(N$12,2)&lt;=RIGHT(ANALISIS!$D$15,2),ROUND(N48*$D48,2),0)</f>
        <v>0</v>
      </c>
      <c r="P48" s="160">
        <f t="shared" si="57"/>
        <v>0</v>
      </c>
      <c r="Q48" s="97"/>
      <c r="R48" s="412">
        <f>IF(RIGHT(Q$12,2)&lt;=RIGHT(ANALISIS!$D$15,2),ROUND(Q48*$D48,2),0)</f>
        <v>0</v>
      </c>
      <c r="S48" s="160">
        <f t="shared" si="58"/>
        <v>0</v>
      </c>
      <c r="T48" s="89"/>
      <c r="U48" s="408">
        <f>IF(RIGHT(T$12,2)&lt;=RIGHT(ANALISIS!$D$15,2),ROUND(T48*$D48,2),0)</f>
        <v>0</v>
      </c>
      <c r="V48" s="160">
        <f t="shared" si="59"/>
        <v>0</v>
      </c>
      <c r="W48" s="89"/>
      <c r="X48" s="408">
        <f>IF(RIGHT(W$12,2)&lt;=RIGHT(ANALISIS!$D$15,2),ROUND(W48*$D48,2),0)</f>
        <v>0</v>
      </c>
      <c r="Y48" s="160">
        <f t="shared" si="60"/>
        <v>0</v>
      </c>
      <c r="Z48" s="97"/>
      <c r="AA48" s="412">
        <f>IF(RIGHT(Z$12,2)&lt;=RIGHT(ANALISIS!$D$15,2),ROUND(Z48*$D48,2),0)</f>
        <v>0</v>
      </c>
      <c r="AB48" s="160">
        <f t="shared" si="61"/>
        <v>0</v>
      </c>
      <c r="AC48" s="97">
        <v>60</v>
      </c>
      <c r="AD48" s="412">
        <f>IF(RIGHT(AC$12,2)&lt;=RIGHT(ANALISIS!$D$15,2),ROUND(AC48*$D48,2),0)</f>
        <v>24204</v>
      </c>
      <c r="AE48" s="160">
        <f t="shared" si="62"/>
        <v>0.9375</v>
      </c>
      <c r="AF48" s="97"/>
      <c r="AG48" s="412">
        <f>IF(RIGHT(AF$12,2)&lt;=RIGHT(ANALISIS!$D$15,2),ROUND(AF48*$D48,2),0)</f>
        <v>0</v>
      </c>
      <c r="AH48" s="160">
        <f t="shared" si="63"/>
        <v>0</v>
      </c>
      <c r="AI48" s="97"/>
      <c r="AJ48" s="412">
        <f>IF(RIGHT(AI$12,2)&lt;=RIGHT(ANALISIS!$D$15,2),ROUND(AI48*$D48,2),0)</f>
        <v>0</v>
      </c>
      <c r="AK48" s="160">
        <f t="shared" si="64"/>
        <v>0</v>
      </c>
      <c r="AL48" s="97"/>
      <c r="AM48" s="412">
        <f>IF(RIGHT(AL$12,2)&lt;=RIGHT(ANALISIS!$D$15,2),ROUND(AL48*$D48,2),0)</f>
        <v>0</v>
      </c>
      <c r="AN48" s="160">
        <f t="shared" si="65"/>
        <v>0</v>
      </c>
      <c r="AO48" s="50">
        <f t="shared" si="66"/>
        <v>0</v>
      </c>
      <c r="AP48" s="413">
        <f t="shared" si="15"/>
        <v>24204</v>
      </c>
      <c r="AQ48" s="364">
        <f t="shared" si="67"/>
        <v>0</v>
      </c>
      <c r="AR48" s="364">
        <f t="shared" si="68"/>
        <v>0.94</v>
      </c>
      <c r="AT48" s="411">
        <f t="shared" si="47"/>
        <v>1613.6</v>
      </c>
      <c r="AU48" s="58">
        <f t="shared" si="69"/>
        <v>0.06</v>
      </c>
      <c r="AX48" s="23">
        <f ca="1">IF(AP48&lt;&gt;INDIRECT("'"&amp;ANALISIS!$D$15&amp;"'!P"&amp;ROW()),1,0)</f>
        <v>0</v>
      </c>
    </row>
    <row r="49" spans="1:50" ht="18" customHeight="1">
      <c r="A49" s="54">
        <f t="shared" si="70"/>
        <v>31</v>
      </c>
      <c r="B49" s="26" t="s">
        <v>52</v>
      </c>
      <c r="C49" s="27" t="s">
        <v>18</v>
      </c>
      <c r="D49" s="90">
        <v>45986.77</v>
      </c>
      <c r="E49" s="90">
        <v>0.65</v>
      </c>
      <c r="F49" s="284">
        <f t="shared" si="53"/>
        <v>29891.4</v>
      </c>
      <c r="G49" s="372">
        <v>0.22</v>
      </c>
      <c r="H49" s="373">
        <v>0.87</v>
      </c>
      <c r="I49" s="373">
        <f t="shared" si="54"/>
        <v>40008.49</v>
      </c>
      <c r="J49" s="374">
        <f t="shared" si="55"/>
        <v>0.33850000000000002</v>
      </c>
      <c r="K49" s="98"/>
      <c r="L49" s="412">
        <f>IF(RIGHT(K$12,2)&lt;=RIGHT(ANALISIS!$D$15,2),ROUND(K49*$D49,2),0)</f>
        <v>0</v>
      </c>
      <c r="M49" s="160">
        <f t="shared" si="56"/>
        <v>0</v>
      </c>
      <c r="N49" s="97"/>
      <c r="O49" s="412">
        <f>IF(RIGHT(N$12,2)&lt;=RIGHT(ANALISIS!$D$15,2),ROUND(N49*$D49,2),0)</f>
        <v>0</v>
      </c>
      <c r="P49" s="160">
        <f t="shared" si="57"/>
        <v>0</v>
      </c>
      <c r="Q49" s="97"/>
      <c r="R49" s="412">
        <f>IF(RIGHT(Q$12,2)&lt;=RIGHT(ANALISIS!$D$15,2),ROUND(Q49*$D49,2),0)</f>
        <v>0</v>
      </c>
      <c r="S49" s="160">
        <f t="shared" si="58"/>
        <v>0</v>
      </c>
      <c r="T49" s="89"/>
      <c r="U49" s="408">
        <f>IF(RIGHT(T$12,2)&lt;=RIGHT(ANALISIS!$D$15,2),ROUND(T49*$D49,2),0)</f>
        <v>0</v>
      </c>
      <c r="V49" s="160">
        <f t="shared" si="59"/>
        <v>0</v>
      </c>
      <c r="W49" s="89"/>
      <c r="X49" s="408">
        <f>IF(RIGHT(W$12,2)&lt;=RIGHT(ANALISIS!$D$15,2),ROUND(W49*$D49,2),0)</f>
        <v>0</v>
      </c>
      <c r="Y49" s="160">
        <f t="shared" si="60"/>
        <v>0</v>
      </c>
      <c r="Z49" s="97"/>
      <c r="AA49" s="412">
        <f>IF(RIGHT(Z$12,2)&lt;=RIGHT(ANALISIS!$D$15,2),ROUND(Z49*$D49,2),0)</f>
        <v>0</v>
      </c>
      <c r="AB49" s="160">
        <f t="shared" si="61"/>
        <v>0</v>
      </c>
      <c r="AC49" s="97">
        <v>0.5</v>
      </c>
      <c r="AD49" s="412">
        <f>IF(RIGHT(AC$12,2)&lt;=RIGHT(ANALISIS!$D$15,2),ROUND(AC49*$D49,2),0)</f>
        <v>22993.39</v>
      </c>
      <c r="AE49" s="160">
        <f t="shared" si="62"/>
        <v>0.57469999999999999</v>
      </c>
      <c r="AF49" s="97"/>
      <c r="AG49" s="412">
        <f>IF(RIGHT(AF$12,2)&lt;=RIGHT(ANALISIS!$D$15,2),ROUND(AF49*$D49,2),0)</f>
        <v>0</v>
      </c>
      <c r="AH49" s="160">
        <f t="shared" si="63"/>
        <v>0</v>
      </c>
      <c r="AI49" s="97"/>
      <c r="AJ49" s="412">
        <f>IF(RIGHT(AI$12,2)&lt;=RIGHT(ANALISIS!$D$15,2),ROUND(AI49*$D49,2),0)</f>
        <v>0</v>
      </c>
      <c r="AK49" s="160">
        <f t="shared" si="64"/>
        <v>0</v>
      </c>
      <c r="AL49" s="97"/>
      <c r="AM49" s="412">
        <f>IF(RIGHT(AL$12,2)&lt;=RIGHT(ANALISIS!$D$15,2),ROUND(AL49*$D49,2),0)</f>
        <v>0</v>
      </c>
      <c r="AN49" s="160">
        <f t="shared" si="65"/>
        <v>0</v>
      </c>
      <c r="AO49" s="50">
        <f t="shared" si="66"/>
        <v>0</v>
      </c>
      <c r="AP49" s="413">
        <f t="shared" si="15"/>
        <v>22993.39</v>
      </c>
      <c r="AQ49" s="364">
        <f t="shared" si="67"/>
        <v>0</v>
      </c>
      <c r="AR49" s="364">
        <f t="shared" si="68"/>
        <v>0.56999999999999995</v>
      </c>
      <c r="AT49" s="411">
        <f t="shared" si="47"/>
        <v>17015.099999999999</v>
      </c>
      <c r="AU49" s="58">
        <f t="shared" si="69"/>
        <v>0.43</v>
      </c>
      <c r="AX49" s="23">
        <f ca="1">IF(AP49&lt;&gt;INDIRECT("'"&amp;ANALISIS!$D$15&amp;"'!P"&amp;ROW()),1,0)</f>
        <v>0</v>
      </c>
    </row>
    <row r="50" spans="1:50" ht="18" customHeight="1">
      <c r="A50" s="54">
        <f t="shared" si="70"/>
        <v>32</v>
      </c>
      <c r="B50" s="26" t="s">
        <v>53</v>
      </c>
      <c r="C50" s="27" t="s">
        <v>47</v>
      </c>
      <c r="D50" s="90">
        <v>825.66</v>
      </c>
      <c r="E50" s="90">
        <v>18.2</v>
      </c>
      <c r="F50" s="284">
        <f t="shared" si="53"/>
        <v>15027.01</v>
      </c>
      <c r="G50" s="372">
        <v>0</v>
      </c>
      <c r="H50" s="373">
        <v>18.2</v>
      </c>
      <c r="I50" s="373">
        <f t="shared" si="54"/>
        <v>15027.01</v>
      </c>
      <c r="J50" s="374">
        <f t="shared" si="55"/>
        <v>0</v>
      </c>
      <c r="K50" s="98"/>
      <c r="L50" s="412">
        <f>IF(RIGHT(K$12,2)&lt;=RIGHT(ANALISIS!$D$15,2),ROUND(K50*$D50,2),0)</f>
        <v>0</v>
      </c>
      <c r="M50" s="160">
        <f t="shared" si="56"/>
        <v>0</v>
      </c>
      <c r="N50" s="97"/>
      <c r="O50" s="412">
        <f>IF(RIGHT(N$12,2)&lt;=RIGHT(ANALISIS!$D$15,2),ROUND(N50*$D50,2),0)</f>
        <v>0</v>
      </c>
      <c r="P50" s="160">
        <f t="shared" si="57"/>
        <v>0</v>
      </c>
      <c r="Q50" s="97"/>
      <c r="R50" s="412">
        <f>IF(RIGHT(Q$12,2)&lt;=RIGHT(ANALISIS!$D$15,2),ROUND(Q50*$D50,2),0)</f>
        <v>0</v>
      </c>
      <c r="S50" s="160">
        <f t="shared" si="58"/>
        <v>0</v>
      </c>
      <c r="T50" s="89"/>
      <c r="U50" s="408">
        <f>IF(RIGHT(T$12,2)&lt;=RIGHT(ANALISIS!$D$15,2),ROUND(T50*$D50,2),0)</f>
        <v>0</v>
      </c>
      <c r="V50" s="160">
        <f t="shared" si="59"/>
        <v>0</v>
      </c>
      <c r="W50" s="89"/>
      <c r="X50" s="408">
        <f>IF(RIGHT(W$12,2)&lt;=RIGHT(ANALISIS!$D$15,2),ROUND(W50*$D50,2),0)</f>
        <v>0</v>
      </c>
      <c r="Y50" s="160">
        <f t="shared" si="60"/>
        <v>0</v>
      </c>
      <c r="Z50" s="97"/>
      <c r="AA50" s="412">
        <f>IF(RIGHT(Z$12,2)&lt;=RIGHT(ANALISIS!$D$15,2),ROUND(Z50*$D50,2),0)</f>
        <v>0</v>
      </c>
      <c r="AB50" s="160">
        <f t="shared" si="61"/>
        <v>0</v>
      </c>
      <c r="AC50" s="97">
        <v>15</v>
      </c>
      <c r="AD50" s="412">
        <f>IF(RIGHT(AC$12,2)&lt;=RIGHT(ANALISIS!$D$15,2),ROUND(AC50*$D50,2),0)</f>
        <v>12384.9</v>
      </c>
      <c r="AE50" s="160">
        <f t="shared" si="62"/>
        <v>0.82420000000000004</v>
      </c>
      <c r="AF50" s="97"/>
      <c r="AG50" s="412">
        <f>IF(RIGHT(AF$12,2)&lt;=RIGHT(ANALISIS!$D$15,2),ROUND(AF50*$D50,2),0)</f>
        <v>0</v>
      </c>
      <c r="AH50" s="160">
        <f t="shared" si="63"/>
        <v>0</v>
      </c>
      <c r="AI50" s="97"/>
      <c r="AJ50" s="412">
        <f>IF(RIGHT(AI$12,2)&lt;=RIGHT(ANALISIS!$D$15,2),ROUND(AI50*$D50,2),0)</f>
        <v>0</v>
      </c>
      <c r="AK50" s="160">
        <f t="shared" si="64"/>
        <v>0</v>
      </c>
      <c r="AL50" s="97"/>
      <c r="AM50" s="412">
        <f>IF(RIGHT(AL$12,2)&lt;=RIGHT(ANALISIS!$D$15,2),ROUND(AL50*$D50,2),0)</f>
        <v>0</v>
      </c>
      <c r="AN50" s="160">
        <f t="shared" si="65"/>
        <v>0</v>
      </c>
      <c r="AO50" s="50">
        <f t="shared" si="66"/>
        <v>0</v>
      </c>
      <c r="AP50" s="413">
        <f t="shared" si="15"/>
        <v>12384.9</v>
      </c>
      <c r="AQ50" s="364">
        <f t="shared" si="67"/>
        <v>0</v>
      </c>
      <c r="AR50" s="364">
        <f t="shared" si="68"/>
        <v>0.82</v>
      </c>
      <c r="AT50" s="411">
        <f t="shared" si="47"/>
        <v>2642.11</v>
      </c>
      <c r="AU50" s="58">
        <f t="shared" si="69"/>
        <v>0.18</v>
      </c>
      <c r="AX50" s="23">
        <f ca="1">IF(AP50&lt;&gt;INDIRECT("'"&amp;ANALISIS!$D$15&amp;"'!P"&amp;ROW()),1,0)</f>
        <v>0</v>
      </c>
    </row>
    <row r="51" spans="1:50" ht="18" customHeight="1">
      <c r="A51" s="54">
        <f t="shared" si="70"/>
        <v>33</v>
      </c>
      <c r="B51" s="26" t="s">
        <v>54</v>
      </c>
      <c r="C51" s="27" t="s">
        <v>47</v>
      </c>
      <c r="D51" s="90">
        <v>83.48</v>
      </c>
      <c r="E51" s="90">
        <v>47.3</v>
      </c>
      <c r="F51" s="284">
        <f t="shared" si="53"/>
        <v>3948.6</v>
      </c>
      <c r="G51" s="372">
        <v>0</v>
      </c>
      <c r="H51" s="373">
        <v>47.3</v>
      </c>
      <c r="I51" s="373">
        <f t="shared" si="54"/>
        <v>3948.6</v>
      </c>
      <c r="J51" s="374">
        <f t="shared" si="55"/>
        <v>0</v>
      </c>
      <c r="K51" s="98"/>
      <c r="L51" s="412">
        <f>IF(RIGHT(K$12,2)&lt;=RIGHT(ANALISIS!$D$15,2),ROUND(K51*$D51,2),0)</f>
        <v>0</v>
      </c>
      <c r="M51" s="160">
        <f t="shared" si="56"/>
        <v>0</v>
      </c>
      <c r="N51" s="97"/>
      <c r="O51" s="412">
        <f>IF(RIGHT(N$12,2)&lt;=RIGHT(ANALISIS!$D$15,2),ROUND(N51*$D51,2),0)</f>
        <v>0</v>
      </c>
      <c r="P51" s="160">
        <f t="shared" si="57"/>
        <v>0</v>
      </c>
      <c r="Q51" s="97"/>
      <c r="R51" s="412">
        <f>IF(RIGHT(Q$12,2)&lt;=RIGHT(ANALISIS!$D$15,2),ROUND(Q51*$D51,2),0)</f>
        <v>0</v>
      </c>
      <c r="S51" s="160">
        <f t="shared" si="58"/>
        <v>0</v>
      </c>
      <c r="T51" s="89"/>
      <c r="U51" s="408">
        <f>IF(RIGHT(T$12,2)&lt;=RIGHT(ANALISIS!$D$15,2),ROUND(T51*$D51,2),0)</f>
        <v>0</v>
      </c>
      <c r="V51" s="160">
        <f t="shared" si="59"/>
        <v>0</v>
      </c>
      <c r="W51" s="89"/>
      <c r="X51" s="408">
        <f>IF(RIGHT(W$12,2)&lt;=RIGHT(ANALISIS!$D$15,2),ROUND(W51*$D51,2),0)</f>
        <v>0</v>
      </c>
      <c r="Y51" s="160">
        <f t="shared" si="60"/>
        <v>0</v>
      </c>
      <c r="Z51" s="97"/>
      <c r="AA51" s="412">
        <f>IF(RIGHT(Z$12,2)&lt;=RIGHT(ANALISIS!$D$15,2),ROUND(Z51*$D51,2),0)</f>
        <v>0</v>
      </c>
      <c r="AB51" s="160">
        <f t="shared" si="61"/>
        <v>0</v>
      </c>
      <c r="AC51" s="97">
        <v>14.4</v>
      </c>
      <c r="AD51" s="412">
        <f>IF(RIGHT(AC$12,2)&lt;=RIGHT(ANALISIS!$D$15,2),ROUND(AC51*$D51,2),0)</f>
        <v>1202.1099999999999</v>
      </c>
      <c r="AE51" s="160">
        <f t="shared" si="62"/>
        <v>0.3044</v>
      </c>
      <c r="AF51" s="97"/>
      <c r="AG51" s="412">
        <f>IF(RIGHT(AF$12,2)&lt;=RIGHT(ANALISIS!$D$15,2),ROUND(AF51*$D51,2),0)</f>
        <v>0</v>
      </c>
      <c r="AH51" s="160">
        <f t="shared" si="63"/>
        <v>0</v>
      </c>
      <c r="AI51" s="97"/>
      <c r="AJ51" s="412">
        <f>IF(RIGHT(AI$12,2)&lt;=RIGHT(ANALISIS!$D$15,2),ROUND(AI51*$D51,2),0)</f>
        <v>0</v>
      </c>
      <c r="AK51" s="160">
        <f t="shared" si="64"/>
        <v>0</v>
      </c>
      <c r="AL51" s="97"/>
      <c r="AM51" s="412">
        <f>IF(RIGHT(AL$12,2)&lt;=RIGHT(ANALISIS!$D$15,2),ROUND(AL51*$D51,2),0)</f>
        <v>0</v>
      </c>
      <c r="AN51" s="160">
        <f t="shared" si="65"/>
        <v>0</v>
      </c>
      <c r="AO51" s="50">
        <f t="shared" si="66"/>
        <v>0</v>
      </c>
      <c r="AP51" s="413">
        <f t="shared" si="15"/>
        <v>1202.1099999999999</v>
      </c>
      <c r="AQ51" s="364">
        <f t="shared" si="67"/>
        <v>0</v>
      </c>
      <c r="AR51" s="364">
        <f t="shared" si="68"/>
        <v>0.3</v>
      </c>
      <c r="AT51" s="411">
        <f t="shared" si="47"/>
        <v>2746.49</v>
      </c>
      <c r="AU51" s="58">
        <f t="shared" si="69"/>
        <v>0.7</v>
      </c>
      <c r="AX51" s="23">
        <f ca="1">IF(AP51&lt;&gt;INDIRECT("'"&amp;ANALISIS!$D$15&amp;"'!P"&amp;ROW()),1,0)</f>
        <v>0</v>
      </c>
    </row>
    <row r="52" spans="1:50" ht="18" customHeight="1">
      <c r="A52" s="54">
        <f t="shared" si="70"/>
        <v>34</v>
      </c>
      <c r="B52" s="26" t="s">
        <v>55</v>
      </c>
      <c r="C52" s="27" t="s">
        <v>10</v>
      </c>
      <c r="D52" s="90">
        <v>150.47999999999999</v>
      </c>
      <c r="E52" s="90">
        <v>106.76</v>
      </c>
      <c r="F52" s="284">
        <f t="shared" si="53"/>
        <v>16065.24</v>
      </c>
      <c r="G52" s="372">
        <v>34.57</v>
      </c>
      <c r="H52" s="373">
        <v>141.33000000000001</v>
      </c>
      <c r="I52" s="373">
        <f t="shared" si="54"/>
        <v>21267.34</v>
      </c>
      <c r="J52" s="374">
        <f t="shared" si="55"/>
        <v>0.32379999999999998</v>
      </c>
      <c r="K52" s="98"/>
      <c r="L52" s="412">
        <f>IF(RIGHT(K$12,2)&lt;=RIGHT(ANALISIS!$D$15,2),ROUND(K52*$D52,2),0)</f>
        <v>0</v>
      </c>
      <c r="M52" s="160">
        <f t="shared" si="56"/>
        <v>0</v>
      </c>
      <c r="N52" s="97"/>
      <c r="O52" s="412">
        <f>IF(RIGHT(N$12,2)&lt;=RIGHT(ANALISIS!$D$15,2),ROUND(N52*$D52,2),0)</f>
        <v>0</v>
      </c>
      <c r="P52" s="160">
        <f t="shared" si="57"/>
        <v>0</v>
      </c>
      <c r="Q52" s="97"/>
      <c r="R52" s="412">
        <f>IF(RIGHT(Q$12,2)&lt;=RIGHT(ANALISIS!$D$15,2),ROUND(Q52*$D52,2),0)</f>
        <v>0</v>
      </c>
      <c r="S52" s="160">
        <f t="shared" si="58"/>
        <v>0</v>
      </c>
      <c r="T52" s="89"/>
      <c r="U52" s="408">
        <f>IF(RIGHT(T$12,2)&lt;=RIGHT(ANALISIS!$D$15,2),ROUND(T52*$D52,2),0)</f>
        <v>0</v>
      </c>
      <c r="V52" s="160">
        <f t="shared" si="59"/>
        <v>0</v>
      </c>
      <c r="W52" s="89">
        <v>141.33000000000001</v>
      </c>
      <c r="X52" s="408">
        <f>IF(RIGHT(W$12,2)&lt;=RIGHT(ANALISIS!$D$15,2),ROUND(W52*$D52,2),0)</f>
        <v>21267.34</v>
      </c>
      <c r="Y52" s="160">
        <f t="shared" si="60"/>
        <v>1</v>
      </c>
      <c r="Z52" s="97"/>
      <c r="AA52" s="412">
        <f>IF(RIGHT(Z$12,2)&lt;=RIGHT(ANALISIS!$D$15,2),ROUND(Z52*$D52,2),0)</f>
        <v>0</v>
      </c>
      <c r="AB52" s="160">
        <f t="shared" si="61"/>
        <v>0</v>
      </c>
      <c r="AC52" s="97"/>
      <c r="AD52" s="412">
        <f>IF(RIGHT(AC$12,2)&lt;=RIGHT(ANALISIS!$D$15,2),ROUND(AC52*$D52,2),0)</f>
        <v>0</v>
      </c>
      <c r="AE52" s="160">
        <f t="shared" si="62"/>
        <v>0</v>
      </c>
      <c r="AF52" s="97"/>
      <c r="AG52" s="412">
        <f>IF(RIGHT(AF$12,2)&lt;=RIGHT(ANALISIS!$D$15,2),ROUND(AF52*$D52,2),0)</f>
        <v>0</v>
      </c>
      <c r="AH52" s="160">
        <f t="shared" si="63"/>
        <v>0</v>
      </c>
      <c r="AI52" s="97"/>
      <c r="AJ52" s="412">
        <f>IF(RIGHT(AI$12,2)&lt;=RIGHT(ANALISIS!$D$15,2),ROUND(AI52*$D52,2),0)</f>
        <v>0</v>
      </c>
      <c r="AK52" s="160">
        <f t="shared" si="64"/>
        <v>0</v>
      </c>
      <c r="AL52" s="97"/>
      <c r="AM52" s="412">
        <f>IF(RIGHT(AL$12,2)&lt;=RIGHT(ANALISIS!$D$15,2),ROUND(AL52*$D52,2),0)</f>
        <v>0</v>
      </c>
      <c r="AN52" s="160">
        <f t="shared" si="65"/>
        <v>0</v>
      </c>
      <c r="AO52" s="50">
        <f t="shared" si="66"/>
        <v>141.33000000000001</v>
      </c>
      <c r="AP52" s="413">
        <f t="shared" si="15"/>
        <v>21267.34</v>
      </c>
      <c r="AQ52" s="364">
        <f t="shared" si="67"/>
        <v>1</v>
      </c>
      <c r="AR52" s="364">
        <f t="shared" si="68"/>
        <v>1</v>
      </c>
      <c r="AT52" s="411">
        <f t="shared" si="47"/>
        <v>0</v>
      </c>
      <c r="AU52" s="58">
        <f t="shared" si="69"/>
        <v>0</v>
      </c>
      <c r="AX52" s="23">
        <f ca="1">IF(AP52&lt;&gt;INDIRECT("'"&amp;ANALISIS!$D$15&amp;"'!P"&amp;ROW()),1,0)</f>
        <v>0</v>
      </c>
    </row>
    <row r="53" spans="1:50" ht="18" customHeight="1">
      <c r="A53" s="54">
        <f t="shared" si="70"/>
        <v>35</v>
      </c>
      <c r="B53" s="26" t="s">
        <v>44</v>
      </c>
      <c r="C53" s="27" t="s">
        <v>10</v>
      </c>
      <c r="D53" s="90">
        <v>638.48</v>
      </c>
      <c r="E53" s="90">
        <v>20.6</v>
      </c>
      <c r="F53" s="284">
        <f t="shared" si="53"/>
        <v>13152.69</v>
      </c>
      <c r="G53" s="372">
        <v>2.64</v>
      </c>
      <c r="H53" s="373">
        <v>23.24</v>
      </c>
      <c r="I53" s="373">
        <f t="shared" si="54"/>
        <v>14838.28</v>
      </c>
      <c r="J53" s="374">
        <f t="shared" si="55"/>
        <v>0.12820000000000001</v>
      </c>
      <c r="K53" s="98"/>
      <c r="L53" s="412">
        <f>IF(RIGHT(K$12,2)&lt;=RIGHT(ANALISIS!$D$15,2),ROUND(K53*$D53,2),0)</f>
        <v>0</v>
      </c>
      <c r="M53" s="160">
        <f t="shared" si="56"/>
        <v>0</v>
      </c>
      <c r="N53" s="97"/>
      <c r="O53" s="412">
        <f>IF(RIGHT(N$12,2)&lt;=RIGHT(ANALISIS!$D$15,2),ROUND(N53*$D53,2),0)</f>
        <v>0</v>
      </c>
      <c r="P53" s="160">
        <f t="shared" si="57"/>
        <v>0</v>
      </c>
      <c r="Q53" s="97"/>
      <c r="R53" s="412">
        <f>IF(RIGHT(Q$12,2)&lt;=RIGHT(ANALISIS!$D$15,2),ROUND(Q53*$D53,2),0)</f>
        <v>0</v>
      </c>
      <c r="S53" s="160">
        <f t="shared" si="58"/>
        <v>0</v>
      </c>
      <c r="T53" s="89"/>
      <c r="U53" s="408">
        <f>IF(RIGHT(T$12,2)&lt;=RIGHT(ANALISIS!$D$15,2),ROUND(T53*$D53,2),0)</f>
        <v>0</v>
      </c>
      <c r="V53" s="160">
        <f t="shared" si="59"/>
        <v>0</v>
      </c>
      <c r="W53" s="89"/>
      <c r="X53" s="408">
        <f>IF(RIGHT(W$12,2)&lt;=RIGHT(ANALISIS!$D$15,2),ROUND(W53*$D53,2),0)</f>
        <v>0</v>
      </c>
      <c r="Y53" s="160">
        <f t="shared" si="60"/>
        <v>0</v>
      </c>
      <c r="Z53" s="97">
        <v>23.24</v>
      </c>
      <c r="AA53" s="412">
        <f>IF(RIGHT(Z$12,2)&lt;=RIGHT(ANALISIS!$D$15,2),ROUND(Z53*$D53,2),0)</f>
        <v>14838.28</v>
      </c>
      <c r="AB53" s="160">
        <f t="shared" si="61"/>
        <v>1</v>
      </c>
      <c r="AC53" s="97"/>
      <c r="AD53" s="412">
        <f>IF(RIGHT(AC$12,2)&lt;=RIGHT(ANALISIS!$D$15,2),ROUND(AC53*$D53,2),0)</f>
        <v>0</v>
      </c>
      <c r="AE53" s="160">
        <f t="shared" si="62"/>
        <v>0</v>
      </c>
      <c r="AF53" s="97"/>
      <c r="AG53" s="412">
        <f>IF(RIGHT(AF$12,2)&lt;=RIGHT(ANALISIS!$D$15,2),ROUND(AF53*$D53,2),0)</f>
        <v>0</v>
      </c>
      <c r="AH53" s="160">
        <f t="shared" si="63"/>
        <v>0</v>
      </c>
      <c r="AI53" s="97"/>
      <c r="AJ53" s="412">
        <f>IF(RIGHT(AI$12,2)&lt;=RIGHT(ANALISIS!$D$15,2),ROUND(AI53*$D53,2),0)</f>
        <v>0</v>
      </c>
      <c r="AK53" s="160">
        <f t="shared" si="64"/>
        <v>0</v>
      </c>
      <c r="AL53" s="97"/>
      <c r="AM53" s="412">
        <f>IF(RIGHT(AL$12,2)&lt;=RIGHT(ANALISIS!$D$15,2),ROUND(AL53*$D53,2),0)</f>
        <v>0</v>
      </c>
      <c r="AN53" s="160">
        <f t="shared" si="65"/>
        <v>0</v>
      </c>
      <c r="AO53" s="50">
        <f t="shared" si="66"/>
        <v>23.24</v>
      </c>
      <c r="AP53" s="413">
        <f t="shared" si="15"/>
        <v>14838.28</v>
      </c>
      <c r="AQ53" s="364">
        <f t="shared" si="67"/>
        <v>1</v>
      </c>
      <c r="AR53" s="364">
        <f t="shared" si="68"/>
        <v>1</v>
      </c>
      <c r="AT53" s="411">
        <f t="shared" si="47"/>
        <v>0</v>
      </c>
      <c r="AU53" s="58">
        <f t="shared" si="69"/>
        <v>0</v>
      </c>
      <c r="AX53" s="23">
        <f ca="1">IF(AP53&lt;&gt;INDIRECT("'"&amp;ANALISIS!$D$15&amp;"'!P"&amp;ROW()),1,0)</f>
        <v>0</v>
      </c>
    </row>
    <row r="54" spans="1:50" ht="18" customHeight="1">
      <c r="A54" s="54">
        <f t="shared" si="70"/>
        <v>36</v>
      </c>
      <c r="B54" s="26" t="s">
        <v>56</v>
      </c>
      <c r="C54" s="27" t="s">
        <v>10</v>
      </c>
      <c r="D54" s="90">
        <v>573.79</v>
      </c>
      <c r="E54" s="90">
        <v>476</v>
      </c>
      <c r="F54" s="284">
        <f t="shared" si="53"/>
        <v>273124.03999999998</v>
      </c>
      <c r="G54" s="372">
        <v>-476</v>
      </c>
      <c r="H54" s="373">
        <v>0</v>
      </c>
      <c r="I54" s="373">
        <f t="shared" si="54"/>
        <v>0</v>
      </c>
      <c r="J54" s="374">
        <f t="shared" si="55"/>
        <v>-1</v>
      </c>
      <c r="K54" s="98"/>
      <c r="L54" s="412">
        <f>IF(RIGHT(K$12,2)&lt;=RIGHT(ANALISIS!$D$15,2),ROUND(K54*$D54,2),0)</f>
        <v>0</v>
      </c>
      <c r="M54" s="160" t="str">
        <f t="shared" si="56"/>
        <v/>
      </c>
      <c r="N54" s="97"/>
      <c r="O54" s="412">
        <f>IF(RIGHT(N$12,2)&lt;=RIGHT(ANALISIS!$D$15,2),ROUND(N54*$D54,2),0)</f>
        <v>0</v>
      </c>
      <c r="P54" s="160" t="str">
        <f t="shared" si="57"/>
        <v/>
      </c>
      <c r="Q54" s="97"/>
      <c r="R54" s="412">
        <f>IF(RIGHT(Q$12,2)&lt;=RIGHT(ANALISIS!$D$15,2),ROUND(Q54*$D54,2),0)</f>
        <v>0</v>
      </c>
      <c r="S54" s="160" t="str">
        <f t="shared" si="58"/>
        <v/>
      </c>
      <c r="T54" s="89"/>
      <c r="U54" s="408">
        <f>IF(RIGHT(T$12,2)&lt;=RIGHT(ANALISIS!$D$15,2),ROUND(T54*$D54,2),0)</f>
        <v>0</v>
      </c>
      <c r="V54" s="160" t="str">
        <f t="shared" si="59"/>
        <v/>
      </c>
      <c r="W54" s="89"/>
      <c r="X54" s="408">
        <f>IF(RIGHT(W$12,2)&lt;=RIGHT(ANALISIS!$D$15,2),ROUND(W54*$D54,2),0)</f>
        <v>0</v>
      </c>
      <c r="Y54" s="160" t="str">
        <f t="shared" si="60"/>
        <v/>
      </c>
      <c r="Z54" s="97"/>
      <c r="AA54" s="412">
        <f>IF(RIGHT(Z$12,2)&lt;=RIGHT(ANALISIS!$D$15,2),ROUND(Z54*$D54,2),0)</f>
        <v>0</v>
      </c>
      <c r="AB54" s="160" t="str">
        <f t="shared" si="61"/>
        <v/>
      </c>
      <c r="AC54" s="97"/>
      <c r="AD54" s="412">
        <f>IF(RIGHT(AC$12,2)&lt;=RIGHT(ANALISIS!$D$15,2),ROUND(AC54*$D54,2),0)</f>
        <v>0</v>
      </c>
      <c r="AE54" s="160" t="str">
        <f t="shared" si="62"/>
        <v/>
      </c>
      <c r="AF54" s="97"/>
      <c r="AG54" s="412">
        <f>IF(RIGHT(AF$12,2)&lt;=RIGHT(ANALISIS!$D$15,2),ROUND(AF54*$D54,2),0)</f>
        <v>0</v>
      </c>
      <c r="AH54" s="160" t="str">
        <f t="shared" si="63"/>
        <v/>
      </c>
      <c r="AI54" s="97"/>
      <c r="AJ54" s="412">
        <f>IF(RIGHT(AI$12,2)&lt;=RIGHT(ANALISIS!$D$15,2),ROUND(AI54*$D54,2),0)</f>
        <v>0</v>
      </c>
      <c r="AK54" s="160" t="str">
        <f t="shared" si="64"/>
        <v/>
      </c>
      <c r="AL54" s="97"/>
      <c r="AM54" s="412">
        <f>IF(RIGHT(AL$12,2)&lt;=RIGHT(ANALISIS!$D$15,2),ROUND(AL54*$D54,2),0)</f>
        <v>0</v>
      </c>
      <c r="AN54" s="160" t="str">
        <f t="shared" si="65"/>
        <v/>
      </c>
      <c r="AO54" s="50">
        <f t="shared" si="66"/>
        <v>0</v>
      </c>
      <c r="AP54" s="413">
        <f t="shared" si="15"/>
        <v>0</v>
      </c>
      <c r="AQ54" s="364" t="str">
        <f t="shared" si="67"/>
        <v/>
      </c>
      <c r="AR54" s="364" t="str">
        <f t="shared" si="68"/>
        <v/>
      </c>
      <c r="AT54" s="411">
        <f t="shared" si="47"/>
        <v>0</v>
      </c>
      <c r="AU54" s="58" t="str">
        <f t="shared" si="69"/>
        <v/>
      </c>
      <c r="AX54" s="23">
        <f ca="1">IF(AP54&lt;&gt;INDIRECT("'"&amp;ANALISIS!$D$15&amp;"'!P"&amp;ROW()),1,0)</f>
        <v>0</v>
      </c>
    </row>
    <row r="55" spans="1:50" ht="18" customHeight="1">
      <c r="A55" s="52">
        <f t="shared" si="70"/>
        <v>37</v>
      </c>
      <c r="B55" s="32" t="s">
        <v>57</v>
      </c>
      <c r="C55" s="29" t="s">
        <v>18</v>
      </c>
      <c r="D55" s="93">
        <v>4553.8599999999997</v>
      </c>
      <c r="E55" s="93">
        <v>1</v>
      </c>
      <c r="F55" s="288">
        <f t="shared" si="53"/>
        <v>4553.8599999999997</v>
      </c>
      <c r="G55" s="375">
        <v>0</v>
      </c>
      <c r="H55" s="376">
        <v>1</v>
      </c>
      <c r="I55" s="376">
        <f t="shared" si="54"/>
        <v>4553.8599999999997</v>
      </c>
      <c r="J55" s="377">
        <f t="shared" si="55"/>
        <v>0</v>
      </c>
      <c r="K55" s="99"/>
      <c r="L55" s="417">
        <f>IF(RIGHT(K$12,2)&lt;=RIGHT(ANALISIS!$D$15,2),ROUND(K55*$D55,2),0)</f>
        <v>0</v>
      </c>
      <c r="M55" s="161">
        <f t="shared" si="56"/>
        <v>0</v>
      </c>
      <c r="N55" s="100"/>
      <c r="O55" s="417">
        <f>IF(RIGHT(N$12,2)&lt;=RIGHT(ANALISIS!$D$15,2),ROUND(N55*$D55,2),0)</f>
        <v>0</v>
      </c>
      <c r="P55" s="161">
        <f t="shared" si="57"/>
        <v>0</v>
      </c>
      <c r="Q55" s="100"/>
      <c r="R55" s="417">
        <f>IF(RIGHT(Q$12,2)&lt;=RIGHT(ANALISIS!$D$15,2),ROUND(Q55*$D55,2),0)</f>
        <v>0</v>
      </c>
      <c r="S55" s="161">
        <f t="shared" si="58"/>
        <v>0</v>
      </c>
      <c r="T55" s="89"/>
      <c r="U55" s="408">
        <f>IF(RIGHT(T$12,2)&lt;=RIGHT(ANALISIS!$D$15,2),ROUND(T55*$D55,2),0)</f>
        <v>0</v>
      </c>
      <c r="V55" s="161">
        <f t="shared" si="59"/>
        <v>0</v>
      </c>
      <c r="W55" s="89"/>
      <c r="X55" s="408">
        <f>IF(RIGHT(W$12,2)&lt;=RIGHT(ANALISIS!$D$15,2),ROUND(W55*$D55,2),0)</f>
        <v>0</v>
      </c>
      <c r="Y55" s="161">
        <f t="shared" si="60"/>
        <v>0</v>
      </c>
      <c r="Z55" s="100"/>
      <c r="AA55" s="417">
        <f>IF(RIGHT(Z$12,2)&lt;=RIGHT(ANALISIS!$D$15,2),ROUND(Z55*$D55,2),0)</f>
        <v>0</v>
      </c>
      <c r="AB55" s="161">
        <f t="shared" si="61"/>
        <v>0</v>
      </c>
      <c r="AC55" s="100"/>
      <c r="AD55" s="417">
        <f>IF(RIGHT(AC$12,2)&lt;=RIGHT(ANALISIS!$D$15,2),ROUND(AC55*$D55,2),0)</f>
        <v>0</v>
      </c>
      <c r="AE55" s="161">
        <f t="shared" si="62"/>
        <v>0</v>
      </c>
      <c r="AF55" s="100"/>
      <c r="AG55" s="417">
        <f>IF(RIGHT(AF$12,2)&lt;=RIGHT(ANALISIS!$D$15,2),ROUND(AF55*$D55,2),0)</f>
        <v>0</v>
      </c>
      <c r="AH55" s="161">
        <f t="shared" si="63"/>
        <v>0</v>
      </c>
      <c r="AI55" s="100"/>
      <c r="AJ55" s="417">
        <f>IF(RIGHT(AI$12,2)&lt;=RIGHT(ANALISIS!$D$15,2),ROUND(AI55*$D55,2),0)</f>
        <v>0</v>
      </c>
      <c r="AK55" s="161">
        <f t="shared" si="64"/>
        <v>0</v>
      </c>
      <c r="AL55" s="100"/>
      <c r="AM55" s="417">
        <f>IF(RIGHT(AL$12,2)&lt;=RIGHT(ANALISIS!$D$15,2),ROUND(AL55*$D55,2),0)</f>
        <v>0</v>
      </c>
      <c r="AN55" s="161">
        <f t="shared" si="65"/>
        <v>0</v>
      </c>
      <c r="AO55" s="59">
        <f t="shared" si="66"/>
        <v>0</v>
      </c>
      <c r="AP55" s="418">
        <f t="shared" si="15"/>
        <v>0</v>
      </c>
      <c r="AQ55" s="164">
        <f t="shared" si="67"/>
        <v>0</v>
      </c>
      <c r="AR55" s="164">
        <f t="shared" si="68"/>
        <v>0</v>
      </c>
      <c r="AT55" s="416">
        <f t="shared" si="47"/>
        <v>4553.8599999999997</v>
      </c>
      <c r="AU55" s="60">
        <f t="shared" si="69"/>
        <v>1</v>
      </c>
      <c r="AX55" s="23">
        <f ca="1">IF(AP55&lt;&gt;INDIRECT("'"&amp;ANALISIS!$D$15&amp;"'!P"&amp;ROW()),1,0)</f>
        <v>0</v>
      </c>
    </row>
    <row r="56" spans="1:50" ht="18" customHeight="1">
      <c r="A56" s="61"/>
      <c r="B56" s="62" t="s">
        <v>59</v>
      </c>
      <c r="C56" s="63"/>
      <c r="D56" s="70"/>
      <c r="E56" s="70"/>
      <c r="F56" s="69"/>
      <c r="G56" s="66"/>
      <c r="H56" s="69"/>
      <c r="I56" s="69"/>
      <c r="J56" s="72"/>
      <c r="K56" s="95"/>
      <c r="L56" s="419"/>
      <c r="M56" s="95"/>
      <c r="N56" s="95"/>
      <c r="O56" s="419"/>
      <c r="P56" s="95"/>
      <c r="Q56" s="95"/>
      <c r="R56" s="419"/>
      <c r="S56" s="95"/>
      <c r="T56" s="95"/>
      <c r="U56" s="419"/>
      <c r="V56" s="95"/>
      <c r="W56" s="96"/>
      <c r="X56" s="419"/>
      <c r="Y56" s="95"/>
      <c r="Z56" s="96"/>
      <c r="AA56" s="419"/>
      <c r="AB56" s="95"/>
      <c r="AC56" s="96"/>
      <c r="AD56" s="419"/>
      <c r="AE56" s="95"/>
      <c r="AF56" s="96"/>
      <c r="AG56" s="419"/>
      <c r="AH56" s="95"/>
      <c r="AI56" s="96"/>
      <c r="AJ56" s="419"/>
      <c r="AK56" s="95"/>
      <c r="AL56" s="96"/>
      <c r="AM56" s="419"/>
      <c r="AN56" s="95"/>
      <c r="AO56" s="79"/>
      <c r="AP56" s="421"/>
      <c r="AQ56" s="365"/>
      <c r="AR56" s="366"/>
      <c r="AT56" s="427"/>
      <c r="AU56" s="282"/>
      <c r="AX56" s="23">
        <f ca="1">IF(AP56&lt;&gt;INDIRECT("'"&amp;ANALISIS!$D$15&amp;"'!P"&amp;ROW()),1,0)</f>
        <v>0</v>
      </c>
    </row>
    <row r="57" spans="1:50" ht="18" customHeight="1">
      <c r="A57" s="53">
        <v>38</v>
      </c>
      <c r="B57" s="24" t="s">
        <v>17</v>
      </c>
      <c r="C57" s="25" t="s">
        <v>18</v>
      </c>
      <c r="D57" s="87">
        <v>47860.38</v>
      </c>
      <c r="E57" s="87">
        <v>1</v>
      </c>
      <c r="F57" s="283">
        <f t="shared" ref="F57:F68" si="71">ROUND(D57*E57,2)</f>
        <v>47860.38</v>
      </c>
      <c r="G57" s="369">
        <v>0</v>
      </c>
      <c r="H57" s="370">
        <v>1</v>
      </c>
      <c r="I57" s="370">
        <f t="shared" ref="I57:I68" si="72">ROUND(H57*D57,2)</f>
        <v>47860.38</v>
      </c>
      <c r="J57" s="371">
        <f t="shared" ref="J57:J68" si="73">G57/E57</f>
        <v>0</v>
      </c>
      <c r="K57" s="101">
        <v>1</v>
      </c>
      <c r="L57" s="406">
        <f>IF(RIGHT(K$12,2)&lt;=RIGHT(ANALISIS!$D$15,2),ROUND(K57*$D57,2),0)</f>
        <v>47860.38</v>
      </c>
      <c r="M57" s="159">
        <f t="shared" ref="M57:M68" si="74">IFERROR(ROUND(L57/$I57,4),"")</f>
        <v>1</v>
      </c>
      <c r="N57" s="101"/>
      <c r="O57" s="406">
        <f>IF(RIGHT(N$12,2)&lt;=RIGHT(ANALISIS!$D$15,2),ROUND(N57*$D57,2),0)</f>
        <v>0</v>
      </c>
      <c r="P57" s="159">
        <f t="shared" ref="P57:P68" si="75">IFERROR(ROUND(O57/$I57,4),"")</f>
        <v>0</v>
      </c>
      <c r="Q57" s="101"/>
      <c r="R57" s="406">
        <f>IF(RIGHT(Q$12,2)&lt;=RIGHT(ANALISIS!$D$15,2),ROUND(Q57*$D57,2),0)</f>
        <v>0</v>
      </c>
      <c r="S57" s="159">
        <f t="shared" ref="S57:S68" si="76">IFERROR(ROUND(R57/$I57,4),"")</f>
        <v>0</v>
      </c>
      <c r="T57" s="89"/>
      <c r="U57" s="408">
        <f>IF(RIGHT(T$12,2)&lt;=RIGHT(ANALISIS!$D$15,2),ROUND(T57*$D57,2),0)</f>
        <v>0</v>
      </c>
      <c r="V57" s="159">
        <f t="shared" ref="V57:V68" si="77">IFERROR(ROUND(U57/$I57,4),"")</f>
        <v>0</v>
      </c>
      <c r="W57" s="101"/>
      <c r="X57" s="408">
        <f>IF(RIGHT(W$12,2)&lt;=RIGHT(ANALISIS!$D$15,2),ROUND(W57*$D57,2),0)</f>
        <v>0</v>
      </c>
      <c r="Y57" s="159">
        <f t="shared" ref="Y57:Y68" si="78">IFERROR(ROUND(X57/$I57,4),"")</f>
        <v>0</v>
      </c>
      <c r="Z57" s="101"/>
      <c r="AA57" s="423">
        <f>IF(RIGHT(Z$12,2)&lt;=RIGHT(ANALISIS!$D$15,2),ROUND(Z57*$D57,2),0)</f>
        <v>0</v>
      </c>
      <c r="AB57" s="159">
        <f t="shared" ref="AB57:AB68" si="79">IFERROR(ROUND(AA57/$I57,4),"")</f>
        <v>0</v>
      </c>
      <c r="AC57" s="101"/>
      <c r="AD57" s="423">
        <f>IF(RIGHT(AC$12,2)&lt;=RIGHT(ANALISIS!$D$15,2),ROUND(AC57*$D57,2),0)</f>
        <v>0</v>
      </c>
      <c r="AE57" s="159">
        <f t="shared" ref="AE57:AE68" si="80">IFERROR(ROUND(AD57/$I57,4),"")</f>
        <v>0</v>
      </c>
      <c r="AF57" s="101"/>
      <c r="AG57" s="423">
        <f>IF(RIGHT(AF$12,2)&lt;=RIGHT(ANALISIS!$D$15,2),ROUND(AF57*$D57,2),0)</f>
        <v>0</v>
      </c>
      <c r="AH57" s="159">
        <f t="shared" ref="AH57:AH68" si="81">IFERROR(ROUND(AG57/$I57,4),"")</f>
        <v>0</v>
      </c>
      <c r="AI57" s="101"/>
      <c r="AJ57" s="423">
        <f>IF(RIGHT(AI$12,2)&lt;=RIGHT(ANALISIS!$D$15,2),ROUND(AI57*$D57,2),0)</f>
        <v>0</v>
      </c>
      <c r="AK57" s="159">
        <f t="shared" ref="AK57:AK68" si="82">IFERROR(ROUND(AJ57/$I57,4),"")</f>
        <v>0</v>
      </c>
      <c r="AL57" s="101"/>
      <c r="AM57" s="423">
        <f>IF(RIGHT(AL$12,2)&lt;=RIGHT(ANALISIS!$D$15,2),ROUND(AL57*$D57,2),0)</f>
        <v>0</v>
      </c>
      <c r="AN57" s="159">
        <f t="shared" ref="AN57:AN68" si="83">IFERROR(ROUND(AM57/$I57,4),"")</f>
        <v>0</v>
      </c>
      <c r="AO57" s="56">
        <f t="shared" ref="AO57:AO68" si="84">K57+N57+Q57+T57+W57+Z57+AL57</f>
        <v>1</v>
      </c>
      <c r="AP57" s="410">
        <f t="shared" si="15"/>
        <v>47860.38</v>
      </c>
      <c r="AQ57" s="363">
        <f t="shared" ref="AQ57:AQ68" si="85">IFERROR(ROUND(AO57/H57,4),"")</f>
        <v>1</v>
      </c>
      <c r="AR57" s="363">
        <f t="shared" ref="AR57:AR68" si="86">IFERROR(ROUND(AP57/I57,4),"")</f>
        <v>1</v>
      </c>
      <c r="AT57" s="407">
        <f t="shared" si="47"/>
        <v>0</v>
      </c>
      <c r="AU57" s="57">
        <f t="shared" ref="AU57:AU68" si="87">IFERROR(AT57/I57,"")</f>
        <v>0</v>
      </c>
      <c r="AX57" s="23">
        <f ca="1">IF(AP57&lt;&gt;INDIRECT("'"&amp;ANALISIS!$D$15&amp;"'!P"&amp;ROW()),1,0)</f>
        <v>0</v>
      </c>
    </row>
    <row r="58" spans="1:50" ht="18" customHeight="1">
      <c r="A58" s="54">
        <f>A57+1</f>
        <v>39</v>
      </c>
      <c r="B58" s="26" t="s">
        <v>32</v>
      </c>
      <c r="C58" s="27" t="s">
        <v>18</v>
      </c>
      <c r="D58" s="90">
        <v>3848.37</v>
      </c>
      <c r="E58" s="90">
        <v>1</v>
      </c>
      <c r="F58" s="284">
        <f t="shared" si="71"/>
        <v>3848.37</v>
      </c>
      <c r="G58" s="372">
        <v>0</v>
      </c>
      <c r="H58" s="373">
        <v>1</v>
      </c>
      <c r="I58" s="373">
        <f t="shared" si="72"/>
        <v>3848.37</v>
      </c>
      <c r="J58" s="382">
        <f t="shared" si="73"/>
        <v>0</v>
      </c>
      <c r="K58" s="91">
        <v>1</v>
      </c>
      <c r="L58" s="408">
        <f>IF(RIGHT(K$12,2)&lt;=RIGHT(ANALISIS!$D$15,2),ROUND(K58*$D58,2),0)</f>
        <v>3848.37</v>
      </c>
      <c r="M58" s="160">
        <f t="shared" si="74"/>
        <v>1</v>
      </c>
      <c r="N58" s="91"/>
      <c r="O58" s="408">
        <f>IF(RIGHT(N$12,2)&lt;=RIGHT(ANALISIS!$D$15,2),ROUND(N58*$D58,2),0)</f>
        <v>0</v>
      </c>
      <c r="P58" s="160">
        <f t="shared" si="75"/>
        <v>0</v>
      </c>
      <c r="Q58" s="91"/>
      <c r="R58" s="408">
        <f>IF(RIGHT(Q$12,2)&lt;=RIGHT(ANALISIS!$D$15,2),ROUND(Q58*$D58,2),0)</f>
        <v>0</v>
      </c>
      <c r="S58" s="160">
        <f t="shared" si="76"/>
        <v>0</v>
      </c>
      <c r="T58" s="89"/>
      <c r="U58" s="408">
        <f>IF(RIGHT(T$12,2)&lt;=RIGHT(ANALISIS!$D$15,2),ROUND(T58*$D58,2),0)</f>
        <v>0</v>
      </c>
      <c r="V58" s="160">
        <f t="shared" si="77"/>
        <v>0</v>
      </c>
      <c r="W58" s="91"/>
      <c r="X58" s="408">
        <f>IF(RIGHT(W$12,2)&lt;=RIGHT(ANALISIS!$D$15,2),ROUND(W58*$D58,2),0)</f>
        <v>0</v>
      </c>
      <c r="Y58" s="160">
        <f t="shared" si="78"/>
        <v>0</v>
      </c>
      <c r="Z58" s="91"/>
      <c r="AA58" s="412">
        <f>IF(RIGHT(Z$12,2)&lt;=RIGHT(ANALISIS!$D$15,2),ROUND(Z58*$D58,2),0)</f>
        <v>0</v>
      </c>
      <c r="AB58" s="160">
        <f t="shared" si="79"/>
        <v>0</v>
      </c>
      <c r="AC58" s="91"/>
      <c r="AD58" s="412">
        <f>IF(RIGHT(AC$12,2)&lt;=RIGHT(ANALISIS!$D$15,2),ROUND(AC58*$D58,2),0)</f>
        <v>0</v>
      </c>
      <c r="AE58" s="160">
        <f t="shared" si="80"/>
        <v>0</v>
      </c>
      <c r="AF58" s="91"/>
      <c r="AG58" s="412">
        <f>IF(RIGHT(AF$12,2)&lt;=RIGHT(ANALISIS!$D$15,2),ROUND(AF58*$D58,2),0)</f>
        <v>0</v>
      </c>
      <c r="AH58" s="160">
        <f t="shared" si="81"/>
        <v>0</v>
      </c>
      <c r="AI58" s="91"/>
      <c r="AJ58" s="412">
        <f>IF(RIGHT(AI$12,2)&lt;=RIGHT(ANALISIS!$D$15,2),ROUND(AI58*$D58,2),0)</f>
        <v>0</v>
      </c>
      <c r="AK58" s="160">
        <f t="shared" si="82"/>
        <v>0</v>
      </c>
      <c r="AL58" s="91"/>
      <c r="AM58" s="412">
        <f>IF(RIGHT(AL$12,2)&lt;=RIGHT(ANALISIS!$D$15,2),ROUND(AL58*$D58,2),0)</f>
        <v>0</v>
      </c>
      <c r="AN58" s="160">
        <f t="shared" si="83"/>
        <v>0</v>
      </c>
      <c r="AO58" s="50">
        <f t="shared" si="84"/>
        <v>1</v>
      </c>
      <c r="AP58" s="413">
        <f t="shared" si="15"/>
        <v>3848.37</v>
      </c>
      <c r="AQ58" s="364">
        <f t="shared" si="85"/>
        <v>1</v>
      </c>
      <c r="AR58" s="364">
        <f t="shared" si="86"/>
        <v>1</v>
      </c>
      <c r="AT58" s="411">
        <f t="shared" si="47"/>
        <v>0</v>
      </c>
      <c r="AU58" s="58">
        <f t="shared" si="87"/>
        <v>0</v>
      </c>
      <c r="AX58" s="23">
        <f ca="1">IF(AP58&lt;&gt;INDIRECT("'"&amp;ANALISIS!$D$15&amp;"'!P"&amp;ROW()),1,0)</f>
        <v>0</v>
      </c>
    </row>
    <row r="59" spans="1:50" ht="18" customHeight="1">
      <c r="A59" s="54">
        <f t="shared" ref="A59:A68" si="88">A58+1</f>
        <v>40</v>
      </c>
      <c r="B59" s="26" t="s">
        <v>33</v>
      </c>
      <c r="C59" s="27" t="s">
        <v>10</v>
      </c>
      <c r="D59" s="90">
        <v>27.03</v>
      </c>
      <c r="E59" s="90">
        <v>421.23</v>
      </c>
      <c r="F59" s="284">
        <f t="shared" si="71"/>
        <v>11385.85</v>
      </c>
      <c r="G59" s="372">
        <v>0</v>
      </c>
      <c r="H59" s="373">
        <v>421.23</v>
      </c>
      <c r="I59" s="373">
        <f t="shared" si="72"/>
        <v>11385.85</v>
      </c>
      <c r="J59" s="382">
        <f t="shared" si="73"/>
        <v>0</v>
      </c>
      <c r="K59" s="89"/>
      <c r="L59" s="408">
        <f>IF(RIGHT(K$12,2)&lt;=RIGHT(ANALISIS!$D$15,2),ROUND(K59*$D59,2),0)</f>
        <v>0</v>
      </c>
      <c r="M59" s="160">
        <f t="shared" si="74"/>
        <v>0</v>
      </c>
      <c r="N59" s="89"/>
      <c r="O59" s="408">
        <f>IF(RIGHT(N$12,2)&lt;=RIGHT(ANALISIS!$D$15,2),ROUND(N59*$D59,2),0)</f>
        <v>0</v>
      </c>
      <c r="P59" s="160">
        <f t="shared" si="75"/>
        <v>0</v>
      </c>
      <c r="Q59" s="89"/>
      <c r="R59" s="408">
        <f>IF(RIGHT(Q$12,2)&lt;=RIGHT(ANALISIS!$D$15,2),ROUND(Q59*$D59,2),0)</f>
        <v>0</v>
      </c>
      <c r="S59" s="160">
        <f t="shared" si="76"/>
        <v>0</v>
      </c>
      <c r="T59" s="89"/>
      <c r="U59" s="408">
        <f>IF(RIGHT(T$12,2)&lt;=RIGHT(ANALISIS!$D$15,2),ROUND(T59*$D59,2),0)</f>
        <v>0</v>
      </c>
      <c r="V59" s="160">
        <f t="shared" si="77"/>
        <v>0</v>
      </c>
      <c r="W59" s="91"/>
      <c r="X59" s="408">
        <f>IF(RIGHT(W$12,2)&lt;=RIGHT(ANALISIS!$D$15,2),ROUND(W59*$D59,2),0)</f>
        <v>0</v>
      </c>
      <c r="Y59" s="160">
        <f t="shared" si="78"/>
        <v>0</v>
      </c>
      <c r="Z59" s="91"/>
      <c r="AA59" s="412">
        <f>IF(RIGHT(Z$12,2)&lt;=RIGHT(ANALISIS!$D$15,2),ROUND(Z59*$D59,2),0)</f>
        <v>0</v>
      </c>
      <c r="AB59" s="160">
        <f t="shared" si="79"/>
        <v>0</v>
      </c>
      <c r="AC59" s="91"/>
      <c r="AD59" s="412">
        <f>IF(RIGHT(AC$12,2)&lt;=RIGHT(ANALISIS!$D$15,2),ROUND(AC59*$D59,2),0)</f>
        <v>0</v>
      </c>
      <c r="AE59" s="160">
        <f t="shared" si="80"/>
        <v>0</v>
      </c>
      <c r="AF59" s="91"/>
      <c r="AG59" s="412">
        <f>IF(RIGHT(AF$12,2)&lt;=RIGHT(ANALISIS!$D$15,2),ROUND(AF59*$D59,2),0)</f>
        <v>0</v>
      </c>
      <c r="AH59" s="160">
        <f t="shared" si="81"/>
        <v>0</v>
      </c>
      <c r="AI59" s="91"/>
      <c r="AJ59" s="412">
        <f>IF(RIGHT(AI$12,2)&lt;=RIGHT(ANALISIS!$D$15,2),ROUND(AI59*$D59,2),0)</f>
        <v>0</v>
      </c>
      <c r="AK59" s="160">
        <f t="shared" si="82"/>
        <v>0</v>
      </c>
      <c r="AL59" s="91"/>
      <c r="AM59" s="412">
        <f>IF(RIGHT(AL$12,2)&lt;=RIGHT(ANALISIS!$D$15,2),ROUND(AL59*$D59,2),0)</f>
        <v>0</v>
      </c>
      <c r="AN59" s="160">
        <f t="shared" si="83"/>
        <v>0</v>
      </c>
      <c r="AO59" s="50">
        <f t="shared" si="84"/>
        <v>0</v>
      </c>
      <c r="AP59" s="413">
        <f t="shared" si="15"/>
        <v>0</v>
      </c>
      <c r="AQ59" s="364">
        <f t="shared" si="85"/>
        <v>0</v>
      </c>
      <c r="AR59" s="364">
        <f t="shared" si="86"/>
        <v>0</v>
      </c>
      <c r="AT59" s="411">
        <f t="shared" si="47"/>
        <v>11385.85</v>
      </c>
      <c r="AU59" s="58">
        <f t="shared" si="87"/>
        <v>1</v>
      </c>
      <c r="AX59" s="23">
        <f ca="1">IF(AP59&lt;&gt;INDIRECT("'"&amp;ANALISIS!$D$15&amp;"'!P"&amp;ROW()),1,0)</f>
        <v>0</v>
      </c>
    </row>
    <row r="60" spans="1:50" ht="18" customHeight="1">
      <c r="A60" s="54">
        <f t="shared" si="88"/>
        <v>41</v>
      </c>
      <c r="B60" s="26" t="s">
        <v>60</v>
      </c>
      <c r="C60" s="27" t="s">
        <v>10</v>
      </c>
      <c r="D60" s="90">
        <v>651.46</v>
      </c>
      <c r="E60" s="90">
        <v>379.8</v>
      </c>
      <c r="F60" s="284">
        <f t="shared" si="71"/>
        <v>247424.51</v>
      </c>
      <c r="G60" s="372">
        <v>0</v>
      </c>
      <c r="H60" s="373">
        <v>379.8</v>
      </c>
      <c r="I60" s="373">
        <f t="shared" si="72"/>
        <v>247424.51</v>
      </c>
      <c r="J60" s="382">
        <f t="shared" si="73"/>
        <v>0</v>
      </c>
      <c r="K60" s="89"/>
      <c r="L60" s="408">
        <f>IF(RIGHT(K$12,2)&lt;=RIGHT(ANALISIS!$D$15,2),ROUND(K60*$D60,2),0)</f>
        <v>0</v>
      </c>
      <c r="M60" s="160">
        <f t="shared" si="74"/>
        <v>0</v>
      </c>
      <c r="N60" s="89"/>
      <c r="O60" s="408">
        <f>IF(RIGHT(N$12,2)&lt;=RIGHT(ANALISIS!$D$15,2),ROUND(N60*$D60,2),0)</f>
        <v>0</v>
      </c>
      <c r="P60" s="160">
        <f t="shared" si="75"/>
        <v>0</v>
      </c>
      <c r="Q60" s="89"/>
      <c r="R60" s="408">
        <f>IF(RIGHT(Q$12,2)&lt;=RIGHT(ANALISIS!$D$15,2),ROUND(Q60*$D60,2),0)</f>
        <v>0</v>
      </c>
      <c r="S60" s="160">
        <f t="shared" si="76"/>
        <v>0</v>
      </c>
      <c r="T60" s="89"/>
      <c r="U60" s="408">
        <f>IF(RIGHT(T$12,2)&lt;=RIGHT(ANALISIS!$D$15,2),ROUND(T60*$D60,2),0)</f>
        <v>0</v>
      </c>
      <c r="V60" s="160">
        <f t="shared" si="77"/>
        <v>0</v>
      </c>
      <c r="W60" s="91"/>
      <c r="X60" s="408">
        <f>IF(RIGHT(W$12,2)&lt;=RIGHT(ANALISIS!$D$15,2),ROUND(W60*$D60,2),0)</f>
        <v>0</v>
      </c>
      <c r="Y60" s="160">
        <f t="shared" si="78"/>
        <v>0</v>
      </c>
      <c r="Z60" s="91"/>
      <c r="AA60" s="412">
        <f>IF(RIGHT(Z$12,2)&lt;=RIGHT(ANALISIS!$D$15,2),ROUND(Z60*$D60,2),0)</f>
        <v>0</v>
      </c>
      <c r="AB60" s="160">
        <f t="shared" si="79"/>
        <v>0</v>
      </c>
      <c r="AC60" s="91"/>
      <c r="AD60" s="412">
        <f>IF(RIGHT(AC$12,2)&lt;=RIGHT(ANALISIS!$D$15,2),ROUND(AC60*$D60,2),0)</f>
        <v>0</v>
      </c>
      <c r="AE60" s="160">
        <f t="shared" si="80"/>
        <v>0</v>
      </c>
      <c r="AF60" s="91"/>
      <c r="AG60" s="412">
        <f>IF(RIGHT(AF$12,2)&lt;=RIGHT(ANALISIS!$D$15,2),ROUND(AF60*$D60,2),0)</f>
        <v>0</v>
      </c>
      <c r="AH60" s="160">
        <f t="shared" si="81"/>
        <v>0</v>
      </c>
      <c r="AI60" s="91"/>
      <c r="AJ60" s="412">
        <f>IF(RIGHT(AI$12,2)&lt;=RIGHT(ANALISIS!$D$15,2),ROUND(AI60*$D60,2),0)</f>
        <v>0</v>
      </c>
      <c r="AK60" s="160">
        <f t="shared" si="82"/>
        <v>0</v>
      </c>
      <c r="AL60" s="91"/>
      <c r="AM60" s="412">
        <f>IF(RIGHT(AL$12,2)&lt;=RIGHT(ANALISIS!$D$15,2),ROUND(AL60*$D60,2),0)</f>
        <v>0</v>
      </c>
      <c r="AN60" s="160">
        <f t="shared" si="83"/>
        <v>0</v>
      </c>
      <c r="AO60" s="50">
        <f t="shared" si="84"/>
        <v>0</v>
      </c>
      <c r="AP60" s="413">
        <f t="shared" si="15"/>
        <v>0</v>
      </c>
      <c r="AQ60" s="364">
        <f t="shared" si="85"/>
        <v>0</v>
      </c>
      <c r="AR60" s="364">
        <f t="shared" si="86"/>
        <v>0</v>
      </c>
      <c r="AT60" s="411">
        <f t="shared" si="47"/>
        <v>247424.51</v>
      </c>
      <c r="AU60" s="58">
        <f t="shared" si="87"/>
        <v>1</v>
      </c>
      <c r="AX60" s="23">
        <f ca="1">IF(AP60&lt;&gt;INDIRECT("'"&amp;ANALISIS!$D$15&amp;"'!P"&amp;ROW()),1,0)</f>
        <v>0</v>
      </c>
    </row>
    <row r="61" spans="1:50" ht="18" customHeight="1">
      <c r="A61" s="54">
        <f t="shared" si="88"/>
        <v>42</v>
      </c>
      <c r="B61" s="3" t="s">
        <v>35</v>
      </c>
      <c r="C61" s="10" t="s">
        <v>10</v>
      </c>
      <c r="D61" s="83">
        <v>1801.53</v>
      </c>
      <c r="E61" s="289">
        <v>95.41</v>
      </c>
      <c r="F61" s="284">
        <f t="shared" si="71"/>
        <v>171883.98</v>
      </c>
      <c r="G61" s="372">
        <v>0</v>
      </c>
      <c r="H61" s="373">
        <v>95.41</v>
      </c>
      <c r="I61" s="373">
        <f t="shared" si="72"/>
        <v>171883.98</v>
      </c>
      <c r="J61" s="382">
        <f t="shared" si="73"/>
        <v>0</v>
      </c>
      <c r="K61" s="89"/>
      <c r="L61" s="408">
        <f>IF(RIGHT(K$12,2)&lt;=RIGHT(ANALISIS!$D$15,2),ROUND(K61*$D61,2),0)</f>
        <v>0</v>
      </c>
      <c r="M61" s="160">
        <f t="shared" si="74"/>
        <v>0</v>
      </c>
      <c r="N61" s="89"/>
      <c r="O61" s="408">
        <f>IF(RIGHT(N$12,2)&lt;=RIGHT(ANALISIS!$D$15,2),ROUND(N61*$D61,2),0)</f>
        <v>0</v>
      </c>
      <c r="P61" s="160">
        <f t="shared" si="75"/>
        <v>0</v>
      </c>
      <c r="Q61" s="89"/>
      <c r="R61" s="408">
        <f>IF(RIGHT(Q$12,2)&lt;=RIGHT(ANALISIS!$D$15,2),ROUND(Q61*$D61,2),0)</f>
        <v>0</v>
      </c>
      <c r="S61" s="160">
        <f t="shared" si="76"/>
        <v>0</v>
      </c>
      <c r="T61" s="89"/>
      <c r="U61" s="408">
        <f>IF(RIGHT(T$12,2)&lt;=RIGHT(ANALISIS!$D$15,2),ROUND(T61*$D61,2),0)</f>
        <v>0</v>
      </c>
      <c r="V61" s="160">
        <f t="shared" si="77"/>
        <v>0</v>
      </c>
      <c r="W61" s="91"/>
      <c r="X61" s="408">
        <f>IF(RIGHT(W$12,2)&lt;=RIGHT(ANALISIS!$D$15,2),ROUND(W61*$D61,2),0)</f>
        <v>0</v>
      </c>
      <c r="Y61" s="160">
        <f t="shared" si="78"/>
        <v>0</v>
      </c>
      <c r="Z61" s="91"/>
      <c r="AA61" s="412">
        <f>IF(RIGHT(Z$12,2)&lt;=RIGHT(ANALISIS!$D$15,2),ROUND(Z61*$D61,2),0)</f>
        <v>0</v>
      </c>
      <c r="AB61" s="160">
        <f t="shared" si="79"/>
        <v>0</v>
      </c>
      <c r="AC61" s="91"/>
      <c r="AD61" s="412">
        <f>IF(RIGHT(AC$12,2)&lt;=RIGHT(ANALISIS!$D$15,2),ROUND(AC61*$D61,2),0)</f>
        <v>0</v>
      </c>
      <c r="AE61" s="160">
        <f t="shared" si="80"/>
        <v>0</v>
      </c>
      <c r="AF61" s="91"/>
      <c r="AG61" s="412">
        <f>IF(RIGHT(AF$12,2)&lt;=RIGHT(ANALISIS!$D$15,2),ROUND(AF61*$D61,2),0)</f>
        <v>0</v>
      </c>
      <c r="AH61" s="160">
        <f t="shared" si="81"/>
        <v>0</v>
      </c>
      <c r="AI61" s="91"/>
      <c r="AJ61" s="412">
        <f>IF(RIGHT(AI$12,2)&lt;=RIGHT(ANALISIS!$D$15,2),ROUND(AI61*$D61,2),0)</f>
        <v>0</v>
      </c>
      <c r="AK61" s="160">
        <f t="shared" si="82"/>
        <v>0</v>
      </c>
      <c r="AL61" s="91"/>
      <c r="AM61" s="412">
        <f>IF(RIGHT(AL$12,2)&lt;=RIGHT(ANALISIS!$D$15,2),ROUND(AL61*$D61,2),0)</f>
        <v>0</v>
      </c>
      <c r="AN61" s="160">
        <f t="shared" si="83"/>
        <v>0</v>
      </c>
      <c r="AO61" s="50">
        <f t="shared" si="84"/>
        <v>0</v>
      </c>
      <c r="AP61" s="413">
        <f t="shared" si="15"/>
        <v>0</v>
      </c>
      <c r="AQ61" s="364">
        <f t="shared" si="85"/>
        <v>0</v>
      </c>
      <c r="AR61" s="364">
        <f t="shared" si="86"/>
        <v>0</v>
      </c>
      <c r="AT61" s="411">
        <f t="shared" si="47"/>
        <v>171883.98</v>
      </c>
      <c r="AU61" s="58">
        <f t="shared" si="87"/>
        <v>1</v>
      </c>
      <c r="AX61" s="23">
        <f ca="1">IF(AP61&lt;&gt;INDIRECT("'"&amp;ANALISIS!$D$15&amp;"'!P"&amp;ROW()),1,0)</f>
        <v>0</v>
      </c>
    </row>
    <row r="62" spans="1:50" ht="18" customHeight="1">
      <c r="A62" s="54">
        <f t="shared" si="88"/>
        <v>43</v>
      </c>
      <c r="B62" s="26" t="s">
        <v>36</v>
      </c>
      <c r="C62" s="27" t="s">
        <v>46</v>
      </c>
      <c r="D62" s="90">
        <v>15.35</v>
      </c>
      <c r="E62" s="90">
        <v>7046.94</v>
      </c>
      <c r="F62" s="284">
        <f t="shared" si="71"/>
        <v>108170.53</v>
      </c>
      <c r="G62" s="372">
        <v>0</v>
      </c>
      <c r="H62" s="373">
        <v>7046.94</v>
      </c>
      <c r="I62" s="373">
        <f t="shared" si="72"/>
        <v>108170.53</v>
      </c>
      <c r="J62" s="382">
        <f t="shared" si="73"/>
        <v>0</v>
      </c>
      <c r="K62" s="89"/>
      <c r="L62" s="408">
        <f>IF(RIGHT(K$12,2)&lt;=RIGHT(ANALISIS!$D$15,2),ROUND(K62*$D62,2),0)</f>
        <v>0</v>
      </c>
      <c r="M62" s="160">
        <f t="shared" si="74"/>
        <v>0</v>
      </c>
      <c r="N62" s="89"/>
      <c r="O62" s="408">
        <f>IF(RIGHT(N$12,2)&lt;=RIGHT(ANALISIS!$D$15,2),ROUND(N62*$D62,2),0)</f>
        <v>0</v>
      </c>
      <c r="P62" s="160">
        <f t="shared" si="75"/>
        <v>0</v>
      </c>
      <c r="Q62" s="89"/>
      <c r="R62" s="408">
        <f>IF(RIGHT(Q$12,2)&lt;=RIGHT(ANALISIS!$D$15,2),ROUND(Q62*$D62,2),0)</f>
        <v>0</v>
      </c>
      <c r="S62" s="160">
        <f t="shared" si="76"/>
        <v>0</v>
      </c>
      <c r="T62" s="89"/>
      <c r="U62" s="408">
        <f>IF(RIGHT(T$12,2)&lt;=RIGHT(ANALISIS!$D$15,2),ROUND(T62*$D62,2),0)</f>
        <v>0</v>
      </c>
      <c r="V62" s="160">
        <f t="shared" si="77"/>
        <v>0</v>
      </c>
      <c r="W62" s="91"/>
      <c r="X62" s="408">
        <f>IF(RIGHT(W$12,2)&lt;=RIGHT(ANALISIS!$D$15,2),ROUND(W62*$D62,2),0)</f>
        <v>0</v>
      </c>
      <c r="Y62" s="160">
        <f t="shared" si="78"/>
        <v>0</v>
      </c>
      <c r="Z62" s="91"/>
      <c r="AA62" s="412">
        <f>IF(RIGHT(Z$12,2)&lt;=RIGHT(ANALISIS!$D$15,2),ROUND(Z62*$D62,2),0)</f>
        <v>0</v>
      </c>
      <c r="AB62" s="160">
        <f t="shared" si="79"/>
        <v>0</v>
      </c>
      <c r="AC62" s="91"/>
      <c r="AD62" s="412">
        <f>IF(RIGHT(AC$12,2)&lt;=RIGHT(ANALISIS!$D$15,2),ROUND(AC62*$D62,2),0)</f>
        <v>0</v>
      </c>
      <c r="AE62" s="160">
        <f t="shared" si="80"/>
        <v>0</v>
      </c>
      <c r="AF62" s="91"/>
      <c r="AG62" s="412">
        <f>IF(RIGHT(AF$12,2)&lt;=RIGHT(ANALISIS!$D$15,2),ROUND(AF62*$D62,2),0)</f>
        <v>0</v>
      </c>
      <c r="AH62" s="160">
        <f t="shared" si="81"/>
        <v>0</v>
      </c>
      <c r="AI62" s="91"/>
      <c r="AJ62" s="412">
        <f>IF(RIGHT(AI$12,2)&lt;=RIGHT(ANALISIS!$D$15,2),ROUND(AI62*$D62,2),0)</f>
        <v>0</v>
      </c>
      <c r="AK62" s="160">
        <f t="shared" si="82"/>
        <v>0</v>
      </c>
      <c r="AL62" s="91"/>
      <c r="AM62" s="412">
        <f>IF(RIGHT(AL$12,2)&lt;=RIGHT(ANALISIS!$D$15,2),ROUND(AL62*$D62,2),0)</f>
        <v>0</v>
      </c>
      <c r="AN62" s="160">
        <f t="shared" si="83"/>
        <v>0</v>
      </c>
      <c r="AO62" s="50">
        <f t="shared" si="84"/>
        <v>0</v>
      </c>
      <c r="AP62" s="413">
        <f t="shared" si="15"/>
        <v>0</v>
      </c>
      <c r="AQ62" s="364">
        <f t="shared" si="85"/>
        <v>0</v>
      </c>
      <c r="AR62" s="364">
        <f t="shared" si="86"/>
        <v>0</v>
      </c>
      <c r="AT62" s="411">
        <f t="shared" si="47"/>
        <v>108170.53</v>
      </c>
      <c r="AU62" s="58">
        <f t="shared" si="87"/>
        <v>1</v>
      </c>
      <c r="AX62" s="23">
        <f ca="1">IF(AP62&lt;&gt;INDIRECT("'"&amp;ANALISIS!$D$15&amp;"'!P"&amp;ROW()),1,0)</f>
        <v>0</v>
      </c>
    </row>
    <row r="63" spans="1:50" ht="18" customHeight="1">
      <c r="A63" s="54">
        <f t="shared" si="88"/>
        <v>44</v>
      </c>
      <c r="B63" s="26" t="s">
        <v>50</v>
      </c>
      <c r="C63" s="27" t="s">
        <v>47</v>
      </c>
      <c r="D63" s="90">
        <v>3139.57</v>
      </c>
      <c r="E63" s="90">
        <v>61.8</v>
      </c>
      <c r="F63" s="284">
        <f t="shared" si="71"/>
        <v>194025.43</v>
      </c>
      <c r="G63" s="372">
        <v>0</v>
      </c>
      <c r="H63" s="373">
        <v>61.8</v>
      </c>
      <c r="I63" s="373">
        <f t="shared" si="72"/>
        <v>194025.43</v>
      </c>
      <c r="J63" s="382">
        <f t="shared" si="73"/>
        <v>0</v>
      </c>
      <c r="K63" s="89"/>
      <c r="L63" s="408">
        <f>IF(RIGHT(K$12,2)&lt;=RIGHT(ANALISIS!$D$15,2),ROUND(K63*$D63,2),0)</f>
        <v>0</v>
      </c>
      <c r="M63" s="160">
        <f t="shared" si="74"/>
        <v>0</v>
      </c>
      <c r="N63" s="89"/>
      <c r="O63" s="408">
        <f>IF(RIGHT(N$12,2)&lt;=RIGHT(ANALISIS!$D$15,2),ROUND(N63*$D63,2),0)</f>
        <v>0</v>
      </c>
      <c r="P63" s="160">
        <f t="shared" si="75"/>
        <v>0</v>
      </c>
      <c r="Q63" s="89"/>
      <c r="R63" s="408">
        <f>IF(RIGHT(Q$12,2)&lt;=RIGHT(ANALISIS!$D$15,2),ROUND(Q63*$D63,2),0)</f>
        <v>0</v>
      </c>
      <c r="S63" s="160">
        <f t="shared" si="76"/>
        <v>0</v>
      </c>
      <c r="T63" s="89"/>
      <c r="U63" s="408">
        <f>IF(RIGHT(T$12,2)&lt;=RIGHT(ANALISIS!$D$15,2),ROUND(T63*$D63,2),0)</f>
        <v>0</v>
      </c>
      <c r="V63" s="160">
        <f t="shared" si="77"/>
        <v>0</v>
      </c>
      <c r="W63" s="91"/>
      <c r="X63" s="408">
        <f>IF(RIGHT(W$12,2)&lt;=RIGHT(ANALISIS!$D$15,2),ROUND(W63*$D63,2),0)</f>
        <v>0</v>
      </c>
      <c r="Y63" s="160">
        <f t="shared" si="78"/>
        <v>0</v>
      </c>
      <c r="Z63" s="91"/>
      <c r="AA63" s="412">
        <f>IF(RIGHT(Z$12,2)&lt;=RIGHT(ANALISIS!$D$15,2),ROUND(Z63*$D63,2),0)</f>
        <v>0</v>
      </c>
      <c r="AB63" s="160">
        <f t="shared" si="79"/>
        <v>0</v>
      </c>
      <c r="AC63" s="91"/>
      <c r="AD63" s="412">
        <f>IF(RIGHT(AC$12,2)&lt;=RIGHT(ANALISIS!$D$15,2),ROUND(AC63*$D63,2),0)</f>
        <v>0</v>
      </c>
      <c r="AE63" s="160">
        <f t="shared" si="80"/>
        <v>0</v>
      </c>
      <c r="AF63" s="91"/>
      <c r="AG63" s="412">
        <f>IF(RIGHT(AF$12,2)&lt;=RIGHT(ANALISIS!$D$15,2),ROUND(AF63*$D63,2),0)</f>
        <v>0</v>
      </c>
      <c r="AH63" s="160">
        <f t="shared" si="81"/>
        <v>0</v>
      </c>
      <c r="AI63" s="91"/>
      <c r="AJ63" s="412">
        <f>IF(RIGHT(AI$12,2)&lt;=RIGHT(ANALISIS!$D$15,2),ROUND(AI63*$D63,2),0)</f>
        <v>0</v>
      </c>
      <c r="AK63" s="160">
        <f t="shared" si="82"/>
        <v>0</v>
      </c>
      <c r="AL63" s="91"/>
      <c r="AM63" s="412">
        <f>IF(RIGHT(AL$12,2)&lt;=RIGHT(ANALISIS!$D$15,2),ROUND(AL63*$D63,2),0)</f>
        <v>0</v>
      </c>
      <c r="AN63" s="160">
        <f t="shared" si="83"/>
        <v>0</v>
      </c>
      <c r="AO63" s="50">
        <f t="shared" si="84"/>
        <v>0</v>
      </c>
      <c r="AP63" s="413">
        <f t="shared" si="15"/>
        <v>0</v>
      </c>
      <c r="AQ63" s="364">
        <f t="shared" si="85"/>
        <v>0</v>
      </c>
      <c r="AR63" s="364">
        <f t="shared" si="86"/>
        <v>0</v>
      </c>
      <c r="AT63" s="411">
        <f t="shared" si="47"/>
        <v>194025.43</v>
      </c>
      <c r="AU63" s="58">
        <f t="shared" si="87"/>
        <v>1</v>
      </c>
      <c r="AX63" s="23">
        <f ca="1">IF(AP63&lt;&gt;INDIRECT("'"&amp;ANALISIS!$D$15&amp;"'!P"&amp;ROW()),1,0)</f>
        <v>0</v>
      </c>
    </row>
    <row r="64" spans="1:50" ht="18" customHeight="1">
      <c r="A64" s="54">
        <f t="shared" si="88"/>
        <v>45</v>
      </c>
      <c r="B64" s="26" t="s">
        <v>51</v>
      </c>
      <c r="C64" s="27" t="s">
        <v>58</v>
      </c>
      <c r="D64" s="90">
        <v>403.4</v>
      </c>
      <c r="E64" s="90">
        <v>26.25</v>
      </c>
      <c r="F64" s="284">
        <f t="shared" si="71"/>
        <v>10589.25</v>
      </c>
      <c r="G64" s="372">
        <v>0</v>
      </c>
      <c r="H64" s="373">
        <v>26.25</v>
      </c>
      <c r="I64" s="373">
        <f t="shared" si="72"/>
        <v>10589.25</v>
      </c>
      <c r="J64" s="382">
        <f t="shared" si="73"/>
        <v>0</v>
      </c>
      <c r="K64" s="89"/>
      <c r="L64" s="408">
        <f>IF(RIGHT(K$12,2)&lt;=RIGHT(ANALISIS!$D$15,2),ROUND(K64*$D64,2),0)</f>
        <v>0</v>
      </c>
      <c r="M64" s="160">
        <f t="shared" si="74"/>
        <v>0</v>
      </c>
      <c r="N64" s="89"/>
      <c r="O64" s="408">
        <f>IF(RIGHT(N$12,2)&lt;=RIGHT(ANALISIS!$D$15,2),ROUND(N64*$D64,2),0)</f>
        <v>0</v>
      </c>
      <c r="P64" s="160">
        <f t="shared" si="75"/>
        <v>0</v>
      </c>
      <c r="Q64" s="89"/>
      <c r="R64" s="408">
        <f>IF(RIGHT(Q$12,2)&lt;=RIGHT(ANALISIS!$D$15,2),ROUND(Q64*$D64,2),0)</f>
        <v>0</v>
      </c>
      <c r="S64" s="160">
        <f t="shared" si="76"/>
        <v>0</v>
      </c>
      <c r="T64" s="89"/>
      <c r="U64" s="408">
        <f>IF(RIGHT(T$12,2)&lt;=RIGHT(ANALISIS!$D$15,2),ROUND(T64*$D64,2),0)</f>
        <v>0</v>
      </c>
      <c r="V64" s="160">
        <f t="shared" si="77"/>
        <v>0</v>
      </c>
      <c r="W64" s="91"/>
      <c r="X64" s="408">
        <f>IF(RIGHT(W$12,2)&lt;=RIGHT(ANALISIS!$D$15,2),ROUND(W64*$D64,2),0)</f>
        <v>0</v>
      </c>
      <c r="Y64" s="160">
        <f t="shared" si="78"/>
        <v>0</v>
      </c>
      <c r="Z64" s="91"/>
      <c r="AA64" s="412">
        <f>IF(RIGHT(Z$12,2)&lt;=RIGHT(ANALISIS!$D$15,2),ROUND(Z64*$D64,2),0)</f>
        <v>0</v>
      </c>
      <c r="AB64" s="160">
        <f t="shared" si="79"/>
        <v>0</v>
      </c>
      <c r="AC64" s="91"/>
      <c r="AD64" s="412">
        <f>IF(RIGHT(AC$12,2)&lt;=RIGHT(ANALISIS!$D$15,2),ROUND(AC64*$D64,2),0)</f>
        <v>0</v>
      </c>
      <c r="AE64" s="160">
        <f t="shared" si="80"/>
        <v>0</v>
      </c>
      <c r="AF64" s="91"/>
      <c r="AG64" s="412">
        <f>IF(RIGHT(AF$12,2)&lt;=RIGHT(ANALISIS!$D$15,2),ROUND(AF64*$D64,2),0)</f>
        <v>0</v>
      </c>
      <c r="AH64" s="160">
        <f t="shared" si="81"/>
        <v>0</v>
      </c>
      <c r="AI64" s="91"/>
      <c r="AJ64" s="412">
        <f>IF(RIGHT(AI$12,2)&lt;=RIGHT(ANALISIS!$D$15,2),ROUND(AI64*$D64,2),0)</f>
        <v>0</v>
      </c>
      <c r="AK64" s="160">
        <f t="shared" si="82"/>
        <v>0</v>
      </c>
      <c r="AL64" s="91"/>
      <c r="AM64" s="412">
        <f>IF(RIGHT(AL$12,2)&lt;=RIGHT(ANALISIS!$D$15,2),ROUND(AL64*$D64,2),0)</f>
        <v>0</v>
      </c>
      <c r="AN64" s="160">
        <f t="shared" si="83"/>
        <v>0</v>
      </c>
      <c r="AO64" s="50">
        <f t="shared" si="84"/>
        <v>0</v>
      </c>
      <c r="AP64" s="413">
        <f t="shared" si="15"/>
        <v>0</v>
      </c>
      <c r="AQ64" s="364">
        <f t="shared" si="85"/>
        <v>0</v>
      </c>
      <c r="AR64" s="364">
        <f t="shared" si="86"/>
        <v>0</v>
      </c>
      <c r="AT64" s="411">
        <f t="shared" si="47"/>
        <v>10589.25</v>
      </c>
      <c r="AU64" s="58">
        <f t="shared" si="87"/>
        <v>1</v>
      </c>
      <c r="AX64" s="23">
        <f ca="1">IF(AP64&lt;&gt;INDIRECT("'"&amp;ANALISIS!$D$15&amp;"'!P"&amp;ROW()),1,0)</f>
        <v>0</v>
      </c>
    </row>
    <row r="65" spans="1:50" ht="18" customHeight="1">
      <c r="A65" s="54">
        <f t="shared" si="88"/>
        <v>46</v>
      </c>
      <c r="B65" s="26" t="s">
        <v>52</v>
      </c>
      <c r="C65" s="27" t="s">
        <v>18</v>
      </c>
      <c r="D65" s="90">
        <v>45986.77</v>
      </c>
      <c r="E65" s="90">
        <v>1</v>
      </c>
      <c r="F65" s="284">
        <f t="shared" si="71"/>
        <v>45986.77</v>
      </c>
      <c r="G65" s="372">
        <v>0</v>
      </c>
      <c r="H65" s="373">
        <v>1</v>
      </c>
      <c r="I65" s="373">
        <f t="shared" si="72"/>
        <v>45986.77</v>
      </c>
      <c r="J65" s="382">
        <f t="shared" si="73"/>
        <v>0</v>
      </c>
      <c r="K65" s="89"/>
      <c r="L65" s="408">
        <f>IF(RIGHT(K$12,2)&lt;=RIGHT(ANALISIS!$D$15,2),ROUND(K65*$D65,2),0)</f>
        <v>0</v>
      </c>
      <c r="M65" s="160">
        <f t="shared" si="74"/>
        <v>0</v>
      </c>
      <c r="N65" s="89"/>
      <c r="O65" s="408">
        <f>IF(RIGHT(N$12,2)&lt;=RIGHT(ANALISIS!$D$15,2),ROUND(N65*$D65,2),0)</f>
        <v>0</v>
      </c>
      <c r="P65" s="160">
        <f t="shared" si="75"/>
        <v>0</v>
      </c>
      <c r="Q65" s="89"/>
      <c r="R65" s="408">
        <f>IF(RIGHT(Q$12,2)&lt;=RIGHT(ANALISIS!$D$15,2),ROUND(Q65*$D65,2),0)</f>
        <v>0</v>
      </c>
      <c r="S65" s="160">
        <f t="shared" si="76"/>
        <v>0</v>
      </c>
      <c r="T65" s="89"/>
      <c r="U65" s="408">
        <f>IF(RIGHT(T$12,2)&lt;=RIGHT(ANALISIS!$D$15,2),ROUND(T65*$D65,2),0)</f>
        <v>0</v>
      </c>
      <c r="V65" s="160">
        <f t="shared" si="77"/>
        <v>0</v>
      </c>
      <c r="W65" s="91"/>
      <c r="X65" s="408">
        <f>IF(RIGHT(W$12,2)&lt;=RIGHT(ANALISIS!$D$15,2),ROUND(W65*$D65,2),0)</f>
        <v>0</v>
      </c>
      <c r="Y65" s="160">
        <f t="shared" si="78"/>
        <v>0</v>
      </c>
      <c r="Z65" s="91"/>
      <c r="AA65" s="412">
        <f>IF(RIGHT(Z$12,2)&lt;=RIGHT(ANALISIS!$D$15,2),ROUND(Z65*$D65,2),0)</f>
        <v>0</v>
      </c>
      <c r="AB65" s="160">
        <f t="shared" si="79"/>
        <v>0</v>
      </c>
      <c r="AC65" s="91"/>
      <c r="AD65" s="412">
        <f>IF(RIGHT(AC$12,2)&lt;=RIGHT(ANALISIS!$D$15,2),ROUND(AC65*$D65,2),0)</f>
        <v>0</v>
      </c>
      <c r="AE65" s="160">
        <f t="shared" si="80"/>
        <v>0</v>
      </c>
      <c r="AF65" s="91"/>
      <c r="AG65" s="412">
        <f>IF(RIGHT(AF$12,2)&lt;=RIGHT(ANALISIS!$D$15,2),ROUND(AF65*$D65,2),0)</f>
        <v>0</v>
      </c>
      <c r="AH65" s="160">
        <f t="shared" si="81"/>
        <v>0</v>
      </c>
      <c r="AI65" s="91"/>
      <c r="AJ65" s="412">
        <f>IF(RIGHT(AI$12,2)&lt;=RIGHT(ANALISIS!$D$15,2),ROUND(AI65*$D65,2),0)</f>
        <v>0</v>
      </c>
      <c r="AK65" s="160">
        <f t="shared" si="82"/>
        <v>0</v>
      </c>
      <c r="AL65" s="91"/>
      <c r="AM65" s="412">
        <f>IF(RIGHT(AL$12,2)&lt;=RIGHT(ANALISIS!$D$15,2),ROUND(AL65*$D65,2),0)</f>
        <v>0</v>
      </c>
      <c r="AN65" s="160">
        <f t="shared" si="83"/>
        <v>0</v>
      </c>
      <c r="AO65" s="50">
        <f t="shared" si="84"/>
        <v>0</v>
      </c>
      <c r="AP65" s="413">
        <f t="shared" si="15"/>
        <v>0</v>
      </c>
      <c r="AQ65" s="364">
        <f t="shared" si="85"/>
        <v>0</v>
      </c>
      <c r="AR65" s="364">
        <f t="shared" si="86"/>
        <v>0</v>
      </c>
      <c r="AT65" s="411">
        <f t="shared" si="47"/>
        <v>45986.77</v>
      </c>
      <c r="AU65" s="58">
        <f t="shared" si="87"/>
        <v>1</v>
      </c>
      <c r="AX65" s="23">
        <f ca="1">IF(AP65&lt;&gt;INDIRECT("'"&amp;ANALISIS!$D$15&amp;"'!P"&amp;ROW()),1,0)</f>
        <v>0</v>
      </c>
    </row>
    <row r="66" spans="1:50" ht="18" customHeight="1">
      <c r="A66" s="54">
        <f t="shared" si="88"/>
        <v>47</v>
      </c>
      <c r="B66" s="26" t="s">
        <v>53</v>
      </c>
      <c r="C66" s="27" t="s">
        <v>47</v>
      </c>
      <c r="D66" s="90">
        <v>825.66</v>
      </c>
      <c r="E66" s="90">
        <v>14.6</v>
      </c>
      <c r="F66" s="284">
        <f t="shared" si="71"/>
        <v>12054.64</v>
      </c>
      <c r="G66" s="372">
        <v>0</v>
      </c>
      <c r="H66" s="373">
        <v>14.6</v>
      </c>
      <c r="I66" s="373">
        <f t="shared" si="72"/>
        <v>12054.64</v>
      </c>
      <c r="J66" s="382">
        <f t="shared" si="73"/>
        <v>0</v>
      </c>
      <c r="K66" s="89"/>
      <c r="L66" s="408">
        <f>IF(RIGHT(K$12,2)&lt;=RIGHT(ANALISIS!$D$15,2),ROUND(K66*$D66,2),0)</f>
        <v>0</v>
      </c>
      <c r="M66" s="160">
        <f t="shared" si="74"/>
        <v>0</v>
      </c>
      <c r="N66" s="89"/>
      <c r="O66" s="408">
        <f>IF(RIGHT(N$12,2)&lt;=RIGHT(ANALISIS!$D$15,2),ROUND(N66*$D66,2),0)</f>
        <v>0</v>
      </c>
      <c r="P66" s="160">
        <f t="shared" si="75"/>
        <v>0</v>
      </c>
      <c r="Q66" s="89"/>
      <c r="R66" s="408">
        <f>IF(RIGHT(Q$12,2)&lt;=RIGHT(ANALISIS!$D$15,2),ROUND(Q66*$D66,2),0)</f>
        <v>0</v>
      </c>
      <c r="S66" s="160">
        <f t="shared" si="76"/>
        <v>0</v>
      </c>
      <c r="T66" s="89"/>
      <c r="U66" s="408">
        <f>IF(RIGHT(T$12,2)&lt;=RIGHT(ANALISIS!$D$15,2),ROUND(T66*$D66,2),0)</f>
        <v>0</v>
      </c>
      <c r="V66" s="160">
        <f t="shared" si="77"/>
        <v>0</v>
      </c>
      <c r="W66" s="91"/>
      <c r="X66" s="408">
        <f>IF(RIGHT(W$12,2)&lt;=RIGHT(ANALISIS!$D$15,2),ROUND(W66*$D66,2),0)</f>
        <v>0</v>
      </c>
      <c r="Y66" s="160">
        <f t="shared" si="78"/>
        <v>0</v>
      </c>
      <c r="Z66" s="91"/>
      <c r="AA66" s="412">
        <f>IF(RIGHT(Z$12,2)&lt;=RIGHT(ANALISIS!$D$15,2),ROUND(Z66*$D66,2),0)</f>
        <v>0</v>
      </c>
      <c r="AB66" s="160">
        <f t="shared" si="79"/>
        <v>0</v>
      </c>
      <c r="AC66" s="91"/>
      <c r="AD66" s="412">
        <f>IF(RIGHT(AC$12,2)&lt;=RIGHT(ANALISIS!$D$15,2),ROUND(AC66*$D66,2),0)</f>
        <v>0</v>
      </c>
      <c r="AE66" s="160">
        <f t="shared" si="80"/>
        <v>0</v>
      </c>
      <c r="AF66" s="91"/>
      <c r="AG66" s="412">
        <f>IF(RIGHT(AF$12,2)&lt;=RIGHT(ANALISIS!$D$15,2),ROUND(AF66*$D66,2),0)</f>
        <v>0</v>
      </c>
      <c r="AH66" s="160">
        <f t="shared" si="81"/>
        <v>0</v>
      </c>
      <c r="AI66" s="91"/>
      <c r="AJ66" s="412">
        <f>IF(RIGHT(AI$12,2)&lt;=RIGHT(ANALISIS!$D$15,2),ROUND(AI66*$D66,2),0)</f>
        <v>0</v>
      </c>
      <c r="AK66" s="160">
        <f t="shared" si="82"/>
        <v>0</v>
      </c>
      <c r="AL66" s="91"/>
      <c r="AM66" s="412">
        <f>IF(RIGHT(AL$12,2)&lt;=RIGHT(ANALISIS!$D$15,2),ROUND(AL66*$D66,2),0)</f>
        <v>0</v>
      </c>
      <c r="AN66" s="160">
        <f t="shared" si="83"/>
        <v>0</v>
      </c>
      <c r="AO66" s="50">
        <f t="shared" si="84"/>
        <v>0</v>
      </c>
      <c r="AP66" s="413">
        <f t="shared" si="15"/>
        <v>0</v>
      </c>
      <c r="AQ66" s="364">
        <f t="shared" si="85"/>
        <v>0</v>
      </c>
      <c r="AR66" s="364">
        <f t="shared" si="86"/>
        <v>0</v>
      </c>
      <c r="AT66" s="411">
        <f t="shared" si="47"/>
        <v>12054.64</v>
      </c>
      <c r="AU66" s="58">
        <f t="shared" si="87"/>
        <v>1</v>
      </c>
      <c r="AX66" s="23">
        <f ca="1">IF(AP66&lt;&gt;INDIRECT("'"&amp;ANALISIS!$D$15&amp;"'!P"&amp;ROW()),1,0)</f>
        <v>0</v>
      </c>
    </row>
    <row r="67" spans="1:50" ht="18" customHeight="1">
      <c r="A67" s="54">
        <f t="shared" si="88"/>
        <v>48</v>
      </c>
      <c r="B67" s="26" t="s">
        <v>54</v>
      </c>
      <c r="C67" s="27" t="s">
        <v>47</v>
      </c>
      <c r="D67" s="90">
        <v>83.48</v>
      </c>
      <c r="E67" s="90">
        <v>38.799999999999997</v>
      </c>
      <c r="F67" s="284">
        <f t="shared" si="71"/>
        <v>3239.02</v>
      </c>
      <c r="G67" s="372">
        <v>0</v>
      </c>
      <c r="H67" s="373">
        <v>38.799999999999997</v>
      </c>
      <c r="I67" s="373">
        <f t="shared" si="72"/>
        <v>3239.02</v>
      </c>
      <c r="J67" s="382">
        <f t="shared" si="73"/>
        <v>0</v>
      </c>
      <c r="K67" s="89"/>
      <c r="L67" s="408">
        <f>IF(RIGHT(K$12,2)&lt;=RIGHT(ANALISIS!$D$15,2),ROUND(K67*$D67,2),0)</f>
        <v>0</v>
      </c>
      <c r="M67" s="160">
        <f t="shared" si="74"/>
        <v>0</v>
      </c>
      <c r="N67" s="89"/>
      <c r="O67" s="408">
        <f>IF(RIGHT(N$12,2)&lt;=RIGHT(ANALISIS!$D$15,2),ROUND(N67*$D67,2),0)</f>
        <v>0</v>
      </c>
      <c r="P67" s="160">
        <f t="shared" si="75"/>
        <v>0</v>
      </c>
      <c r="Q67" s="89"/>
      <c r="R67" s="408">
        <f>IF(RIGHT(Q$12,2)&lt;=RIGHT(ANALISIS!$D$15,2),ROUND(Q67*$D67,2),0)</f>
        <v>0</v>
      </c>
      <c r="S67" s="160">
        <f t="shared" si="76"/>
        <v>0</v>
      </c>
      <c r="T67" s="89"/>
      <c r="U67" s="408">
        <f>IF(RIGHT(T$12,2)&lt;=RIGHT(ANALISIS!$D$15,2),ROUND(T67*$D67,2),0)</f>
        <v>0</v>
      </c>
      <c r="V67" s="160">
        <f t="shared" si="77"/>
        <v>0</v>
      </c>
      <c r="W67" s="91"/>
      <c r="X67" s="408">
        <f>IF(RIGHT(W$12,2)&lt;=RIGHT(ANALISIS!$D$15,2),ROUND(W67*$D67,2),0)</f>
        <v>0</v>
      </c>
      <c r="Y67" s="160">
        <f t="shared" si="78"/>
        <v>0</v>
      </c>
      <c r="Z67" s="91"/>
      <c r="AA67" s="412">
        <f>IF(RIGHT(Z$12,2)&lt;=RIGHT(ANALISIS!$D$15,2),ROUND(Z67*$D67,2),0)</f>
        <v>0</v>
      </c>
      <c r="AB67" s="160">
        <f t="shared" si="79"/>
        <v>0</v>
      </c>
      <c r="AC67" s="91"/>
      <c r="AD67" s="412">
        <f>IF(RIGHT(AC$12,2)&lt;=RIGHT(ANALISIS!$D$15,2),ROUND(AC67*$D67,2),0)</f>
        <v>0</v>
      </c>
      <c r="AE67" s="160">
        <f t="shared" si="80"/>
        <v>0</v>
      </c>
      <c r="AF67" s="91"/>
      <c r="AG67" s="412">
        <f>IF(RIGHT(AF$12,2)&lt;=RIGHT(ANALISIS!$D$15,2),ROUND(AF67*$D67,2),0)</f>
        <v>0</v>
      </c>
      <c r="AH67" s="160">
        <f t="shared" si="81"/>
        <v>0</v>
      </c>
      <c r="AI67" s="91"/>
      <c r="AJ67" s="412">
        <f>IF(RIGHT(AI$12,2)&lt;=RIGHT(ANALISIS!$D$15,2),ROUND(AI67*$D67,2),0)</f>
        <v>0</v>
      </c>
      <c r="AK67" s="160">
        <f t="shared" si="82"/>
        <v>0</v>
      </c>
      <c r="AL67" s="91"/>
      <c r="AM67" s="412">
        <f>IF(RIGHT(AL$12,2)&lt;=RIGHT(ANALISIS!$D$15,2),ROUND(AL67*$D67,2),0)</f>
        <v>0</v>
      </c>
      <c r="AN67" s="160">
        <f t="shared" si="83"/>
        <v>0</v>
      </c>
      <c r="AO67" s="50">
        <f t="shared" si="84"/>
        <v>0</v>
      </c>
      <c r="AP67" s="413">
        <f t="shared" si="15"/>
        <v>0</v>
      </c>
      <c r="AQ67" s="364">
        <f t="shared" si="85"/>
        <v>0</v>
      </c>
      <c r="AR67" s="364">
        <f t="shared" si="86"/>
        <v>0</v>
      </c>
      <c r="AT67" s="411">
        <f t="shared" si="47"/>
        <v>3239.02</v>
      </c>
      <c r="AU67" s="58">
        <f t="shared" si="87"/>
        <v>1</v>
      </c>
      <c r="AX67" s="23">
        <f ca="1">IF(AP67&lt;&gt;INDIRECT("'"&amp;ANALISIS!$D$15&amp;"'!P"&amp;ROW()),1,0)</f>
        <v>0</v>
      </c>
    </row>
    <row r="68" spans="1:50" ht="18" customHeight="1">
      <c r="A68" s="52">
        <f t="shared" si="88"/>
        <v>49</v>
      </c>
      <c r="B68" s="32" t="s">
        <v>57</v>
      </c>
      <c r="C68" s="29" t="s">
        <v>18</v>
      </c>
      <c r="D68" s="93">
        <v>4553.8599999999997</v>
      </c>
      <c r="E68" s="93">
        <v>1</v>
      </c>
      <c r="F68" s="288">
        <f t="shared" si="71"/>
        <v>4553.8599999999997</v>
      </c>
      <c r="G68" s="375">
        <v>0</v>
      </c>
      <c r="H68" s="376">
        <v>1</v>
      </c>
      <c r="I68" s="376">
        <f t="shared" si="72"/>
        <v>4553.8599999999997</v>
      </c>
      <c r="J68" s="377">
        <f t="shared" si="73"/>
        <v>0</v>
      </c>
      <c r="K68" s="99"/>
      <c r="L68" s="417">
        <f>IF(RIGHT(K$12,2)&lt;=RIGHT(ANALISIS!$D$15,2),ROUND(K68*$D68,2),0)</f>
        <v>0</v>
      </c>
      <c r="M68" s="161">
        <f t="shared" si="74"/>
        <v>0</v>
      </c>
      <c r="N68" s="100"/>
      <c r="O68" s="417">
        <f>IF(RIGHT(N$12,2)&lt;=RIGHT(ANALISIS!$D$15,2),ROUND(N68*$D68,2),0)</f>
        <v>0</v>
      </c>
      <c r="P68" s="161">
        <f t="shared" si="75"/>
        <v>0</v>
      </c>
      <c r="Q68" s="100"/>
      <c r="R68" s="417">
        <f>IF(RIGHT(Q$12,2)&lt;=RIGHT(ANALISIS!$D$15,2),ROUND(Q68*$D68,2),0)</f>
        <v>0</v>
      </c>
      <c r="S68" s="161">
        <f t="shared" si="76"/>
        <v>0</v>
      </c>
      <c r="T68" s="89"/>
      <c r="U68" s="408">
        <f>IF(RIGHT(T$12,2)&lt;=RIGHT(ANALISIS!$D$15,2),ROUND(T68*$D68,2),0)</f>
        <v>0</v>
      </c>
      <c r="V68" s="161">
        <f t="shared" si="77"/>
        <v>0</v>
      </c>
      <c r="W68" s="100"/>
      <c r="X68" s="408">
        <f>IF(RIGHT(W$12,2)&lt;=RIGHT(ANALISIS!$D$15,2),ROUND(W68*$D68,2),0)</f>
        <v>0</v>
      </c>
      <c r="Y68" s="161">
        <f t="shared" si="78"/>
        <v>0</v>
      </c>
      <c r="Z68" s="100"/>
      <c r="AA68" s="417">
        <f>IF(RIGHT(Z$12,2)&lt;=RIGHT(ANALISIS!$D$15,2),ROUND(Z68*$D68,2),0)</f>
        <v>0</v>
      </c>
      <c r="AB68" s="161">
        <f t="shared" si="79"/>
        <v>0</v>
      </c>
      <c r="AC68" s="100"/>
      <c r="AD68" s="417">
        <f>IF(RIGHT(AC$12,2)&lt;=RIGHT(ANALISIS!$D$15,2),ROUND(AC68*$D68,2),0)</f>
        <v>0</v>
      </c>
      <c r="AE68" s="161">
        <f t="shared" si="80"/>
        <v>0</v>
      </c>
      <c r="AF68" s="100"/>
      <c r="AG68" s="417">
        <f>IF(RIGHT(AF$12,2)&lt;=RIGHT(ANALISIS!$D$15,2),ROUND(AF68*$D68,2),0)</f>
        <v>0</v>
      </c>
      <c r="AH68" s="161">
        <f t="shared" si="81"/>
        <v>0</v>
      </c>
      <c r="AI68" s="100"/>
      <c r="AJ68" s="417">
        <f>IF(RIGHT(AI$12,2)&lt;=RIGHT(ANALISIS!$D$15,2),ROUND(AI68*$D68,2),0)</f>
        <v>0</v>
      </c>
      <c r="AK68" s="161">
        <f t="shared" si="82"/>
        <v>0</v>
      </c>
      <c r="AL68" s="100"/>
      <c r="AM68" s="417">
        <f>IF(RIGHT(AL$12,2)&lt;=RIGHT(ANALISIS!$D$15,2),ROUND(AL68*$D68,2),0)</f>
        <v>0</v>
      </c>
      <c r="AN68" s="161">
        <f t="shared" si="83"/>
        <v>0</v>
      </c>
      <c r="AO68" s="59">
        <f t="shared" si="84"/>
        <v>0</v>
      </c>
      <c r="AP68" s="418">
        <f t="shared" si="15"/>
        <v>0</v>
      </c>
      <c r="AQ68" s="164">
        <f t="shared" si="85"/>
        <v>0</v>
      </c>
      <c r="AR68" s="164">
        <f t="shared" si="86"/>
        <v>0</v>
      </c>
      <c r="AT68" s="416">
        <f t="shared" si="47"/>
        <v>4553.8599999999997</v>
      </c>
      <c r="AU68" s="60">
        <f t="shared" si="87"/>
        <v>1</v>
      </c>
      <c r="AX68" s="23">
        <f ca="1">IF(AP68&lt;&gt;INDIRECT("'"&amp;ANALISIS!$D$15&amp;"'!P"&amp;ROW()),1,0)</f>
        <v>0</v>
      </c>
    </row>
    <row r="69" spans="1:50" ht="18" customHeight="1">
      <c r="A69" s="61"/>
      <c r="B69" s="62" t="s">
        <v>61</v>
      </c>
      <c r="C69" s="63"/>
      <c r="D69" s="66"/>
      <c r="E69" s="66"/>
      <c r="F69" s="69"/>
      <c r="G69" s="66"/>
      <c r="H69" s="69"/>
      <c r="I69" s="69"/>
      <c r="J69" s="72"/>
      <c r="K69" s="95"/>
      <c r="L69" s="419"/>
      <c r="M69" s="95"/>
      <c r="N69" s="95"/>
      <c r="O69" s="419"/>
      <c r="P69" s="95"/>
      <c r="Q69" s="95"/>
      <c r="R69" s="419"/>
      <c r="S69" s="95"/>
      <c r="T69" s="95"/>
      <c r="U69" s="419"/>
      <c r="V69" s="95"/>
      <c r="W69" s="96"/>
      <c r="X69" s="419"/>
      <c r="Y69" s="95"/>
      <c r="Z69" s="96"/>
      <c r="AA69" s="419"/>
      <c r="AB69" s="95"/>
      <c r="AC69" s="96"/>
      <c r="AD69" s="419"/>
      <c r="AE69" s="95"/>
      <c r="AF69" s="96"/>
      <c r="AG69" s="419"/>
      <c r="AH69" s="95"/>
      <c r="AI69" s="96"/>
      <c r="AJ69" s="419"/>
      <c r="AK69" s="95"/>
      <c r="AL69" s="96"/>
      <c r="AM69" s="419"/>
      <c r="AN69" s="95"/>
      <c r="AO69" s="79"/>
      <c r="AP69" s="421"/>
      <c r="AQ69" s="365"/>
      <c r="AR69" s="366"/>
      <c r="AT69" s="427"/>
      <c r="AU69" s="282"/>
      <c r="AX69" s="23">
        <f ca="1">IF(AP69&lt;&gt;INDIRECT("'"&amp;ANALISIS!$D$15&amp;"'!P"&amp;ROW()),1,0)</f>
        <v>0</v>
      </c>
    </row>
    <row r="70" spans="1:50" ht="18" customHeight="1">
      <c r="A70" s="53">
        <v>50</v>
      </c>
      <c r="B70" s="7" t="s">
        <v>62</v>
      </c>
      <c r="C70" s="25" t="s">
        <v>67</v>
      </c>
      <c r="D70" s="87">
        <v>1145.2</v>
      </c>
      <c r="E70" s="87">
        <v>15</v>
      </c>
      <c r="F70" s="290">
        <f>ROUND(D70*E70,2)</f>
        <v>17178</v>
      </c>
      <c r="G70" s="369">
        <v>0</v>
      </c>
      <c r="H70" s="370">
        <v>15</v>
      </c>
      <c r="I70" s="370">
        <f>ROUND(H70*D70,2)</f>
        <v>17178</v>
      </c>
      <c r="J70" s="371">
        <f>G70/E70</f>
        <v>0</v>
      </c>
      <c r="K70" s="102"/>
      <c r="L70" s="423">
        <f>IF(RIGHT(K$12,2)&lt;=RIGHT(ANALISIS!$D$15,2),ROUND(K70*$D70,2),0)</f>
        <v>0</v>
      </c>
      <c r="M70" s="159">
        <f t="shared" ref="M70:M74" si="89">IFERROR(ROUND(L70/$I70,4),"")</f>
        <v>0</v>
      </c>
      <c r="N70" s="101"/>
      <c r="O70" s="423">
        <f>IF(RIGHT(N$12,2)&lt;=RIGHT(ANALISIS!$D$15,2),ROUND(N70*$D70,2),0)</f>
        <v>0</v>
      </c>
      <c r="P70" s="159">
        <f t="shared" ref="P70:P74" si="90">IFERROR(ROUND(O70/$I70,4),"")</f>
        <v>0</v>
      </c>
      <c r="Q70" s="101"/>
      <c r="R70" s="423">
        <f>IF(RIGHT(Q$12,2)&lt;=RIGHT(ANALISIS!$D$15,2),ROUND(Q70*$D70,2),0)</f>
        <v>0</v>
      </c>
      <c r="S70" s="159">
        <f t="shared" ref="S70:S74" si="91">IFERROR(ROUND(R70/$I70,4),"")</f>
        <v>0</v>
      </c>
      <c r="T70" s="89"/>
      <c r="U70" s="408">
        <f>IF(RIGHT(T$12,2)&lt;=RIGHT(ANALISIS!$D$15,2),ROUND(T70*$D70,2),0)</f>
        <v>0</v>
      </c>
      <c r="V70" s="159">
        <f t="shared" ref="V70:V74" si="92">IFERROR(ROUND(U70/$I70,4),"")</f>
        <v>0</v>
      </c>
      <c r="W70" s="101"/>
      <c r="X70" s="408">
        <f>IF(RIGHT(W$12,2)&lt;=RIGHT(ANALISIS!$D$15,2),ROUND(W70*$D70,2),0)</f>
        <v>0</v>
      </c>
      <c r="Y70" s="159">
        <f t="shared" ref="Y70:Y74" si="93">IFERROR(ROUND(X70/$I70,4),"")</f>
        <v>0</v>
      </c>
      <c r="Z70" s="101"/>
      <c r="AA70" s="423">
        <f>IF(RIGHT(Z$12,2)&lt;=RIGHT(ANALISIS!$D$15,2),ROUND(Z70*$D70,2),0)</f>
        <v>0</v>
      </c>
      <c r="AB70" s="159">
        <f t="shared" ref="AB70:AB74" si="94">IFERROR(ROUND(AA70/$I70,4),"")</f>
        <v>0</v>
      </c>
      <c r="AC70" s="101"/>
      <c r="AD70" s="423">
        <f>IF(RIGHT(AC$12,2)&lt;=RIGHT(ANALISIS!$D$15,2),ROUND(AC70*$D70,2),0)</f>
        <v>0</v>
      </c>
      <c r="AE70" s="159">
        <f t="shared" ref="AE70:AE74" si="95">IFERROR(ROUND(AD70/$I70,4),"")</f>
        <v>0</v>
      </c>
      <c r="AF70" s="101"/>
      <c r="AG70" s="423">
        <f>IF(RIGHT(AF$12,2)&lt;=RIGHT(ANALISIS!$D$15,2),ROUND(AF70*$D70,2),0)</f>
        <v>0</v>
      </c>
      <c r="AH70" s="159">
        <f t="shared" ref="AH70:AH74" si="96">IFERROR(ROUND(AG70/$I70,4),"")</f>
        <v>0</v>
      </c>
      <c r="AI70" s="101"/>
      <c r="AJ70" s="423">
        <f>IF(RIGHT(AI$12,2)&lt;=RIGHT(ANALISIS!$D$15,2),ROUND(AI70*$D70,2),0)</f>
        <v>0</v>
      </c>
      <c r="AK70" s="159">
        <f t="shared" ref="AK70:AK74" si="97">IFERROR(ROUND(AJ70/$I70,4),"")</f>
        <v>0</v>
      </c>
      <c r="AL70" s="101"/>
      <c r="AM70" s="423">
        <f>IF(RIGHT(AL$12,2)&lt;=RIGHT(ANALISIS!$D$15,2),ROUND(AL70*$D70,2),0)</f>
        <v>0</v>
      </c>
      <c r="AN70" s="159">
        <f t="shared" ref="AN70:AN74" si="98">IFERROR(ROUND(AM70/$I70,4),"")</f>
        <v>0</v>
      </c>
      <c r="AO70" s="56">
        <f t="shared" ref="AO70:AO74" si="99">K70+N70+Q70+T70+W70+Z70+AL70</f>
        <v>0</v>
      </c>
      <c r="AP70" s="410">
        <f t="shared" si="15"/>
        <v>0</v>
      </c>
      <c r="AQ70" s="363">
        <f t="shared" ref="AQ70:AQ74" si="100">IFERROR(ROUND(AO70/H70,4),"")</f>
        <v>0</v>
      </c>
      <c r="AR70" s="363">
        <f t="shared" ref="AR70:AR74" si="101">IFERROR(ROUND(AP70/I70,4),"")</f>
        <v>0</v>
      </c>
      <c r="AT70" s="407">
        <f t="shared" si="47"/>
        <v>17178</v>
      </c>
      <c r="AU70" s="57">
        <f t="shared" ref="AU70:AU74" si="102">IFERROR(AT70/I70,"")</f>
        <v>1</v>
      </c>
      <c r="AX70" s="23">
        <f ca="1">IF(AP70&lt;&gt;INDIRECT("'"&amp;ANALISIS!$D$15&amp;"'!P"&amp;ROW()),1,0)</f>
        <v>0</v>
      </c>
    </row>
    <row r="71" spans="1:50" ht="18" customHeight="1">
      <c r="A71" s="54">
        <f>1+A70</f>
        <v>51</v>
      </c>
      <c r="B71" s="8" t="s">
        <v>63</v>
      </c>
      <c r="C71" s="27" t="s">
        <v>67</v>
      </c>
      <c r="D71" s="90">
        <v>977.64</v>
      </c>
      <c r="E71" s="90">
        <v>33</v>
      </c>
      <c r="F71" s="291">
        <f>ROUND(D71*E71,2)</f>
        <v>32262.12</v>
      </c>
      <c r="G71" s="372">
        <v>0</v>
      </c>
      <c r="H71" s="373">
        <v>33</v>
      </c>
      <c r="I71" s="373">
        <f>ROUND(H71*D71,2)</f>
        <v>32262.12</v>
      </c>
      <c r="J71" s="374">
        <f>G71/E71</f>
        <v>0</v>
      </c>
      <c r="K71" s="98"/>
      <c r="L71" s="412">
        <f>IF(RIGHT(K$12,2)&lt;=RIGHT(ANALISIS!$D$15,2),ROUND(K71*$D71,2),0)</f>
        <v>0</v>
      </c>
      <c r="M71" s="160">
        <f t="shared" si="89"/>
        <v>0</v>
      </c>
      <c r="N71" s="97"/>
      <c r="O71" s="412">
        <f>IF(RIGHT(N$12,2)&lt;=RIGHT(ANALISIS!$D$15,2),ROUND(N71*$D71,2),0)</f>
        <v>0</v>
      </c>
      <c r="P71" s="160">
        <f t="shared" si="90"/>
        <v>0</v>
      </c>
      <c r="Q71" s="97"/>
      <c r="R71" s="412">
        <f>IF(RIGHT(Q$12,2)&lt;=RIGHT(ANALISIS!$D$15,2),ROUND(Q71*$D71,2),0)</f>
        <v>0</v>
      </c>
      <c r="S71" s="160">
        <f t="shared" si="91"/>
        <v>0</v>
      </c>
      <c r="T71" s="89"/>
      <c r="U71" s="408">
        <f>IF(RIGHT(T$12,2)&lt;=RIGHT(ANALISIS!$D$15,2),ROUND(T71*$D71,2),0)</f>
        <v>0</v>
      </c>
      <c r="V71" s="160">
        <f t="shared" si="92"/>
        <v>0</v>
      </c>
      <c r="W71" s="97"/>
      <c r="X71" s="408">
        <f>IF(RIGHT(W$12,2)&lt;=RIGHT(ANALISIS!$D$15,2),ROUND(W71*$D71,2),0)</f>
        <v>0</v>
      </c>
      <c r="Y71" s="160">
        <f t="shared" si="93"/>
        <v>0</v>
      </c>
      <c r="Z71" s="97"/>
      <c r="AA71" s="412">
        <f>IF(RIGHT(Z$12,2)&lt;=RIGHT(ANALISIS!$D$15,2),ROUND(Z71*$D71,2),0)</f>
        <v>0</v>
      </c>
      <c r="AB71" s="160">
        <f t="shared" si="94"/>
        <v>0</v>
      </c>
      <c r="AC71" s="97"/>
      <c r="AD71" s="412">
        <f>IF(RIGHT(AC$12,2)&lt;=RIGHT(ANALISIS!$D$15,2),ROUND(AC71*$D71,2),0)</f>
        <v>0</v>
      </c>
      <c r="AE71" s="160">
        <f t="shared" si="95"/>
        <v>0</v>
      </c>
      <c r="AF71" s="97"/>
      <c r="AG71" s="412">
        <f>IF(RIGHT(AF$12,2)&lt;=RIGHT(ANALISIS!$D$15,2),ROUND(AF71*$D71,2),0)</f>
        <v>0</v>
      </c>
      <c r="AH71" s="160">
        <f t="shared" si="96"/>
        <v>0</v>
      </c>
      <c r="AI71" s="97"/>
      <c r="AJ71" s="412">
        <f>IF(RIGHT(AI$12,2)&lt;=RIGHT(ANALISIS!$D$15,2),ROUND(AI71*$D71,2),0)</f>
        <v>0</v>
      </c>
      <c r="AK71" s="160">
        <f t="shared" si="97"/>
        <v>0</v>
      </c>
      <c r="AL71" s="97"/>
      <c r="AM71" s="412">
        <f>IF(RIGHT(AL$12,2)&lt;=RIGHT(ANALISIS!$D$15,2),ROUND(AL71*$D71,2),0)</f>
        <v>0</v>
      </c>
      <c r="AN71" s="160">
        <f t="shared" si="98"/>
        <v>0</v>
      </c>
      <c r="AO71" s="50">
        <f t="shared" si="99"/>
        <v>0</v>
      </c>
      <c r="AP71" s="413">
        <f t="shared" si="15"/>
        <v>0</v>
      </c>
      <c r="AQ71" s="364">
        <f t="shared" si="100"/>
        <v>0</v>
      </c>
      <c r="AR71" s="364">
        <f t="shared" si="101"/>
        <v>0</v>
      </c>
      <c r="AT71" s="411">
        <f t="shared" si="47"/>
        <v>32262.12</v>
      </c>
      <c r="AU71" s="58">
        <f t="shared" si="102"/>
        <v>1</v>
      </c>
      <c r="AX71" s="23">
        <f ca="1">IF(AP71&lt;&gt;INDIRECT("'"&amp;ANALISIS!$D$15&amp;"'!P"&amp;ROW()),1,0)</f>
        <v>0</v>
      </c>
    </row>
    <row r="72" spans="1:50" ht="18" customHeight="1">
      <c r="A72" s="54">
        <f>1+A71</f>
        <v>52</v>
      </c>
      <c r="B72" s="8" t="s">
        <v>64</v>
      </c>
      <c r="C72" s="27" t="s">
        <v>67</v>
      </c>
      <c r="D72" s="90">
        <v>1497.96</v>
      </c>
      <c r="E72" s="90">
        <v>1</v>
      </c>
      <c r="F72" s="291">
        <f>ROUND(D72*E72,2)</f>
        <v>1497.96</v>
      </c>
      <c r="G72" s="372">
        <v>0</v>
      </c>
      <c r="H72" s="373">
        <v>1</v>
      </c>
      <c r="I72" s="373">
        <f>ROUND(H72*D72,2)</f>
        <v>1497.96</v>
      </c>
      <c r="J72" s="374">
        <f>G72/E72</f>
        <v>0</v>
      </c>
      <c r="K72" s="98"/>
      <c r="L72" s="412">
        <f>IF(RIGHT(K$12,2)&lt;=RIGHT(ANALISIS!$D$15,2),ROUND(K72*$D72,2),0)</f>
        <v>0</v>
      </c>
      <c r="M72" s="160">
        <f t="shared" si="89"/>
        <v>0</v>
      </c>
      <c r="N72" s="97"/>
      <c r="O72" s="412">
        <f>IF(RIGHT(N$12,2)&lt;=RIGHT(ANALISIS!$D$15,2),ROUND(N72*$D72,2),0)</f>
        <v>0</v>
      </c>
      <c r="P72" s="160">
        <f t="shared" si="90"/>
        <v>0</v>
      </c>
      <c r="Q72" s="97"/>
      <c r="R72" s="412">
        <f>IF(RIGHT(Q$12,2)&lt;=RIGHT(ANALISIS!$D$15,2),ROUND(Q72*$D72,2),0)</f>
        <v>0</v>
      </c>
      <c r="S72" s="160">
        <f t="shared" si="91"/>
        <v>0</v>
      </c>
      <c r="T72" s="89"/>
      <c r="U72" s="408">
        <f>IF(RIGHT(T$12,2)&lt;=RIGHT(ANALISIS!$D$15,2),ROUND(T72*$D72,2),0)</f>
        <v>0</v>
      </c>
      <c r="V72" s="160">
        <f t="shared" si="92"/>
        <v>0</v>
      </c>
      <c r="W72" s="97"/>
      <c r="X72" s="408">
        <f>IF(RIGHT(W$12,2)&lt;=RIGHT(ANALISIS!$D$15,2),ROUND(W72*$D72,2),0)</f>
        <v>0</v>
      </c>
      <c r="Y72" s="160">
        <f t="shared" si="93"/>
        <v>0</v>
      </c>
      <c r="Z72" s="97"/>
      <c r="AA72" s="412">
        <f>IF(RIGHT(Z$12,2)&lt;=RIGHT(ANALISIS!$D$15,2),ROUND(Z72*$D72,2),0)</f>
        <v>0</v>
      </c>
      <c r="AB72" s="160">
        <f t="shared" si="94"/>
        <v>0</v>
      </c>
      <c r="AC72" s="97"/>
      <c r="AD72" s="412">
        <f>IF(RIGHT(AC$12,2)&lt;=RIGHT(ANALISIS!$D$15,2),ROUND(AC72*$D72,2),0)</f>
        <v>0</v>
      </c>
      <c r="AE72" s="160">
        <f t="shared" si="95"/>
        <v>0</v>
      </c>
      <c r="AF72" s="97"/>
      <c r="AG72" s="412">
        <f>IF(RIGHT(AF$12,2)&lt;=RIGHT(ANALISIS!$D$15,2),ROUND(AF72*$D72,2),0)</f>
        <v>0</v>
      </c>
      <c r="AH72" s="160">
        <f t="shared" si="96"/>
        <v>0</v>
      </c>
      <c r="AI72" s="97"/>
      <c r="AJ72" s="412">
        <f>IF(RIGHT(AI$12,2)&lt;=RIGHT(ANALISIS!$D$15,2),ROUND(AI72*$D72,2),0)</f>
        <v>0</v>
      </c>
      <c r="AK72" s="160">
        <f t="shared" si="97"/>
        <v>0</v>
      </c>
      <c r="AL72" s="97"/>
      <c r="AM72" s="412">
        <f>IF(RIGHT(AL$12,2)&lt;=RIGHT(ANALISIS!$D$15,2),ROUND(AL72*$D72,2),0)</f>
        <v>0</v>
      </c>
      <c r="AN72" s="160">
        <f t="shared" si="98"/>
        <v>0</v>
      </c>
      <c r="AO72" s="50">
        <f t="shared" si="99"/>
        <v>0</v>
      </c>
      <c r="AP72" s="413">
        <f t="shared" si="15"/>
        <v>0</v>
      </c>
      <c r="AQ72" s="364">
        <f t="shared" si="100"/>
        <v>0</v>
      </c>
      <c r="AR72" s="364">
        <f t="shared" si="101"/>
        <v>0</v>
      </c>
      <c r="AT72" s="411">
        <f t="shared" si="47"/>
        <v>1497.96</v>
      </c>
      <c r="AU72" s="58">
        <f t="shared" si="102"/>
        <v>1</v>
      </c>
      <c r="AX72" s="23">
        <f ca="1">IF(AP72&lt;&gt;INDIRECT("'"&amp;ANALISIS!$D$15&amp;"'!P"&amp;ROW()),1,0)</f>
        <v>0</v>
      </c>
    </row>
    <row r="73" spans="1:50" ht="18" customHeight="1">
      <c r="A73" s="54">
        <f>1+A72</f>
        <v>53</v>
      </c>
      <c r="B73" s="8" t="s">
        <v>65</v>
      </c>
      <c r="C73" s="27" t="s">
        <v>67</v>
      </c>
      <c r="D73" s="90">
        <v>276.64</v>
      </c>
      <c r="E73" s="90">
        <v>26</v>
      </c>
      <c r="F73" s="291">
        <f>ROUND(D73*E73,2)</f>
        <v>7192.64</v>
      </c>
      <c r="G73" s="372">
        <v>0</v>
      </c>
      <c r="H73" s="373">
        <v>26</v>
      </c>
      <c r="I73" s="373">
        <f>ROUND(H73*D73,2)</f>
        <v>7192.64</v>
      </c>
      <c r="J73" s="374">
        <f>G73/E73</f>
        <v>0</v>
      </c>
      <c r="K73" s="98"/>
      <c r="L73" s="412">
        <f>IF(RIGHT(K$12,2)&lt;=RIGHT(ANALISIS!$D$15,2),ROUND(K73*$D73,2),0)</f>
        <v>0</v>
      </c>
      <c r="M73" s="160">
        <f t="shared" si="89"/>
        <v>0</v>
      </c>
      <c r="N73" s="97"/>
      <c r="O73" s="412">
        <f>IF(RIGHT(N$12,2)&lt;=RIGHT(ANALISIS!$D$15,2),ROUND(N73*$D73,2),0)</f>
        <v>0</v>
      </c>
      <c r="P73" s="160">
        <f t="shared" si="90"/>
        <v>0</v>
      </c>
      <c r="Q73" s="97"/>
      <c r="R73" s="412">
        <f>IF(RIGHT(Q$12,2)&lt;=RIGHT(ANALISIS!$D$15,2),ROUND(Q73*$D73,2),0)</f>
        <v>0</v>
      </c>
      <c r="S73" s="160">
        <f t="shared" si="91"/>
        <v>0</v>
      </c>
      <c r="T73" s="89"/>
      <c r="U73" s="408">
        <f>IF(RIGHT(T$12,2)&lt;=RIGHT(ANALISIS!$D$15,2),ROUND(T73*$D73,2),0)</f>
        <v>0</v>
      </c>
      <c r="V73" s="160">
        <f t="shared" si="92"/>
        <v>0</v>
      </c>
      <c r="W73" s="97"/>
      <c r="X73" s="408">
        <f>IF(RIGHT(W$12,2)&lt;=RIGHT(ANALISIS!$D$15,2),ROUND(W73*$D73,2),0)</f>
        <v>0</v>
      </c>
      <c r="Y73" s="160">
        <f t="shared" si="93"/>
        <v>0</v>
      </c>
      <c r="Z73" s="97"/>
      <c r="AA73" s="412">
        <f>IF(RIGHT(Z$12,2)&lt;=RIGHT(ANALISIS!$D$15,2),ROUND(Z73*$D73,2),0)</f>
        <v>0</v>
      </c>
      <c r="AB73" s="160">
        <f t="shared" si="94"/>
        <v>0</v>
      </c>
      <c r="AC73" s="97"/>
      <c r="AD73" s="412">
        <f>IF(RIGHT(AC$12,2)&lt;=RIGHT(ANALISIS!$D$15,2),ROUND(AC73*$D73,2),0)</f>
        <v>0</v>
      </c>
      <c r="AE73" s="160">
        <f t="shared" si="95"/>
        <v>0</v>
      </c>
      <c r="AF73" s="97"/>
      <c r="AG73" s="412">
        <f>IF(RIGHT(AF$12,2)&lt;=RIGHT(ANALISIS!$D$15,2),ROUND(AF73*$D73,2),0)</f>
        <v>0</v>
      </c>
      <c r="AH73" s="160">
        <f t="shared" si="96"/>
        <v>0</v>
      </c>
      <c r="AI73" s="97"/>
      <c r="AJ73" s="412">
        <f>IF(RIGHT(AI$12,2)&lt;=RIGHT(ANALISIS!$D$15,2),ROUND(AI73*$D73,2),0)</f>
        <v>0</v>
      </c>
      <c r="AK73" s="160">
        <f t="shared" si="97"/>
        <v>0</v>
      </c>
      <c r="AL73" s="97"/>
      <c r="AM73" s="412">
        <f>IF(RIGHT(AL$12,2)&lt;=RIGHT(ANALISIS!$D$15,2),ROUND(AL73*$D73,2),0)</f>
        <v>0</v>
      </c>
      <c r="AN73" s="160">
        <f t="shared" si="98"/>
        <v>0</v>
      </c>
      <c r="AO73" s="50">
        <f t="shared" si="99"/>
        <v>0</v>
      </c>
      <c r="AP73" s="413">
        <f t="shared" si="15"/>
        <v>0</v>
      </c>
      <c r="AQ73" s="364">
        <f t="shared" si="100"/>
        <v>0</v>
      </c>
      <c r="AR73" s="364">
        <f t="shared" si="101"/>
        <v>0</v>
      </c>
      <c r="AT73" s="411">
        <f t="shared" si="47"/>
        <v>7192.64</v>
      </c>
      <c r="AU73" s="58">
        <f t="shared" si="102"/>
        <v>1</v>
      </c>
      <c r="AX73" s="23">
        <f ca="1">IF(AP73&lt;&gt;INDIRECT("'"&amp;ANALISIS!$D$15&amp;"'!P"&amp;ROW()),1,0)</f>
        <v>0</v>
      </c>
    </row>
    <row r="74" spans="1:50" ht="18" customHeight="1">
      <c r="A74" s="52">
        <f>1+A73</f>
        <v>54</v>
      </c>
      <c r="B74" s="9" t="s">
        <v>66</v>
      </c>
      <c r="C74" s="29" t="s">
        <v>67</v>
      </c>
      <c r="D74" s="93">
        <v>235.45</v>
      </c>
      <c r="E74" s="93">
        <v>98</v>
      </c>
      <c r="F74" s="285">
        <f>ROUND(D74*E74,2)</f>
        <v>23074.1</v>
      </c>
      <c r="G74" s="375">
        <v>0</v>
      </c>
      <c r="H74" s="376">
        <v>98</v>
      </c>
      <c r="I74" s="376">
        <f>ROUND(H74*D74,2)</f>
        <v>23074.1</v>
      </c>
      <c r="J74" s="377">
        <f>G74/E74</f>
        <v>0</v>
      </c>
      <c r="K74" s="99"/>
      <c r="L74" s="417">
        <f>IF(RIGHT(K$12,2)&lt;=RIGHT(ANALISIS!$D$15,2),ROUND(K74*$D74,2),0)</f>
        <v>0</v>
      </c>
      <c r="M74" s="161">
        <f t="shared" si="89"/>
        <v>0</v>
      </c>
      <c r="N74" s="100"/>
      <c r="O74" s="417">
        <f>IF(RIGHT(N$12,2)&lt;=RIGHT(ANALISIS!$D$15,2),ROUND(N74*$D74,2),0)</f>
        <v>0</v>
      </c>
      <c r="P74" s="161">
        <f t="shared" si="90"/>
        <v>0</v>
      </c>
      <c r="Q74" s="100"/>
      <c r="R74" s="417">
        <f>IF(RIGHT(Q$12,2)&lt;=RIGHT(ANALISIS!$D$15,2),ROUND(Q74*$D74,2),0)</f>
        <v>0</v>
      </c>
      <c r="S74" s="161">
        <f t="shared" si="91"/>
        <v>0</v>
      </c>
      <c r="T74" s="89"/>
      <c r="U74" s="408">
        <f>IF(RIGHT(T$12,2)&lt;=RIGHT(ANALISIS!$D$15,2),ROUND(T74*$D74,2),0)</f>
        <v>0</v>
      </c>
      <c r="V74" s="161">
        <f t="shared" si="92"/>
        <v>0</v>
      </c>
      <c r="W74" s="100"/>
      <c r="X74" s="408">
        <f>IF(RIGHT(W$12,2)&lt;=RIGHT(ANALISIS!$D$15,2),ROUND(W74*$D74,2),0)</f>
        <v>0</v>
      </c>
      <c r="Y74" s="161">
        <f t="shared" si="93"/>
        <v>0</v>
      </c>
      <c r="Z74" s="100"/>
      <c r="AA74" s="417">
        <f>IF(RIGHT(Z$12,2)&lt;=RIGHT(ANALISIS!$D$15,2),ROUND(Z74*$D74,2),0)</f>
        <v>0</v>
      </c>
      <c r="AB74" s="161">
        <f t="shared" si="94"/>
        <v>0</v>
      </c>
      <c r="AC74" s="100"/>
      <c r="AD74" s="417">
        <f>IF(RIGHT(AC$12,2)&lt;=RIGHT(ANALISIS!$D$15,2),ROUND(AC74*$D74,2),0)</f>
        <v>0</v>
      </c>
      <c r="AE74" s="161">
        <f t="shared" si="95"/>
        <v>0</v>
      </c>
      <c r="AF74" s="100"/>
      <c r="AG74" s="417">
        <f>IF(RIGHT(AF$12,2)&lt;=RIGHT(ANALISIS!$D$15,2),ROUND(AF74*$D74,2),0)</f>
        <v>0</v>
      </c>
      <c r="AH74" s="161">
        <f t="shared" si="96"/>
        <v>0</v>
      </c>
      <c r="AI74" s="100"/>
      <c r="AJ74" s="417">
        <f>IF(RIGHT(AI$12,2)&lt;=RIGHT(ANALISIS!$D$15,2),ROUND(AI74*$D74,2),0)</f>
        <v>0</v>
      </c>
      <c r="AK74" s="161">
        <f t="shared" si="97"/>
        <v>0</v>
      </c>
      <c r="AL74" s="100"/>
      <c r="AM74" s="417">
        <f>IF(RIGHT(AL$12,2)&lt;=RIGHT(ANALISIS!$D$15,2),ROUND(AL74*$D74,2),0)</f>
        <v>0</v>
      </c>
      <c r="AN74" s="161">
        <f t="shared" si="98"/>
        <v>0</v>
      </c>
      <c r="AO74" s="59">
        <f t="shared" si="99"/>
        <v>0</v>
      </c>
      <c r="AP74" s="418">
        <f t="shared" si="15"/>
        <v>0</v>
      </c>
      <c r="AQ74" s="164">
        <f t="shared" si="100"/>
        <v>0</v>
      </c>
      <c r="AR74" s="164">
        <f t="shared" si="101"/>
        <v>0</v>
      </c>
      <c r="AT74" s="416">
        <f t="shared" si="47"/>
        <v>23074.1</v>
      </c>
      <c r="AU74" s="60">
        <f t="shared" si="102"/>
        <v>1</v>
      </c>
      <c r="AX74" s="23">
        <f ca="1">IF(AP74&lt;&gt;INDIRECT("'"&amp;ANALISIS!$D$15&amp;"'!P"&amp;ROW()),1,0)</f>
        <v>0</v>
      </c>
    </row>
    <row r="75" spans="1:50" ht="18" customHeight="1">
      <c r="A75" s="61"/>
      <c r="B75" s="62" t="s">
        <v>68</v>
      </c>
      <c r="C75" s="63"/>
      <c r="D75" s="66"/>
      <c r="E75" s="66"/>
      <c r="F75" s="69"/>
      <c r="G75" s="66"/>
      <c r="H75" s="69"/>
      <c r="I75" s="69"/>
      <c r="J75" s="72"/>
      <c r="K75" s="95"/>
      <c r="L75" s="419"/>
      <c r="M75" s="95"/>
      <c r="N75" s="95"/>
      <c r="O75" s="419"/>
      <c r="P75" s="95"/>
      <c r="Q75" s="95"/>
      <c r="R75" s="419"/>
      <c r="S75" s="95"/>
      <c r="T75" s="95"/>
      <c r="U75" s="419"/>
      <c r="V75" s="95"/>
      <c r="W75" s="96"/>
      <c r="X75" s="419"/>
      <c r="Y75" s="95"/>
      <c r="Z75" s="96"/>
      <c r="AA75" s="419"/>
      <c r="AB75" s="95"/>
      <c r="AC75" s="96"/>
      <c r="AD75" s="419"/>
      <c r="AE75" s="95"/>
      <c r="AF75" s="96"/>
      <c r="AG75" s="419"/>
      <c r="AH75" s="95"/>
      <c r="AI75" s="96"/>
      <c r="AJ75" s="419"/>
      <c r="AK75" s="95"/>
      <c r="AL75" s="96"/>
      <c r="AM75" s="419"/>
      <c r="AN75" s="95"/>
      <c r="AO75" s="79"/>
      <c r="AP75" s="421"/>
      <c r="AQ75" s="365"/>
      <c r="AR75" s="366"/>
      <c r="AT75" s="427"/>
      <c r="AU75" s="282"/>
      <c r="AX75" s="23">
        <f ca="1">IF(AP75&lt;&gt;INDIRECT("'"&amp;ANALISIS!$D$15&amp;"'!P"&amp;ROW()),1,0)</f>
        <v>0</v>
      </c>
    </row>
    <row r="76" spans="1:50" ht="18" customHeight="1">
      <c r="A76" s="53">
        <v>65</v>
      </c>
      <c r="B76" s="26" t="s">
        <v>69</v>
      </c>
      <c r="C76" s="27" t="s">
        <v>75</v>
      </c>
      <c r="D76" s="90">
        <v>412.06</v>
      </c>
      <c r="E76" s="90">
        <v>10</v>
      </c>
      <c r="F76" s="284">
        <f t="shared" ref="F76:F81" si="103">ROUND(D76*E76,2)</f>
        <v>4120.6000000000004</v>
      </c>
      <c r="G76" s="369">
        <v>0</v>
      </c>
      <c r="H76" s="370">
        <v>10</v>
      </c>
      <c r="I76" s="370">
        <f t="shared" ref="I76:I81" si="104">ROUND(H76*D76,2)</f>
        <v>4120.6000000000004</v>
      </c>
      <c r="J76" s="371">
        <f t="shared" ref="J76:J81" si="105">G76/E76</f>
        <v>0</v>
      </c>
      <c r="K76" s="102"/>
      <c r="L76" s="423">
        <f>IF(RIGHT(K$12,2)&lt;=RIGHT(ANALISIS!$D$15,2),ROUND(K76*$D76,2),0)</f>
        <v>0</v>
      </c>
      <c r="M76" s="159">
        <f t="shared" ref="M76:M81" si="106">IFERROR(ROUND(L76/$I76,4),"")</f>
        <v>0</v>
      </c>
      <c r="N76" s="101"/>
      <c r="O76" s="423">
        <f>IF(RIGHT(N$12,2)&lt;=RIGHT(ANALISIS!$D$15,2),ROUND(N76*$D76,2),0)</f>
        <v>0</v>
      </c>
      <c r="P76" s="159">
        <f t="shared" ref="P76:P81" si="107">IFERROR(ROUND(O76/$I76,4),"")</f>
        <v>0</v>
      </c>
      <c r="Q76" s="101"/>
      <c r="R76" s="423">
        <f>IF(RIGHT(Q$12,2)&lt;=RIGHT(ANALISIS!$D$15,2),ROUND(Q76*$D76,2),0)</f>
        <v>0</v>
      </c>
      <c r="S76" s="159">
        <f t="shared" ref="S76:S81" si="108">IFERROR(ROUND(R76/$I76,4),"")</f>
        <v>0</v>
      </c>
      <c r="T76" s="89"/>
      <c r="U76" s="408">
        <f>IF(RIGHT(T$12,2)&lt;=RIGHT(ANALISIS!$D$15,2),ROUND(T76*$D76,2),0)</f>
        <v>0</v>
      </c>
      <c r="V76" s="159">
        <f t="shared" ref="V76:V81" si="109">IFERROR(ROUND(U76/$I76,4),"")</f>
        <v>0</v>
      </c>
      <c r="W76" s="101"/>
      <c r="X76" s="408">
        <f>IF(RIGHT(W$12,2)&lt;=RIGHT(ANALISIS!$D$15,2),ROUND(W76*$D76,2),0)</f>
        <v>0</v>
      </c>
      <c r="Y76" s="159">
        <f t="shared" ref="Y76:Y81" si="110">IFERROR(ROUND(X76/$I76,4),"")</f>
        <v>0</v>
      </c>
      <c r="Z76" s="101"/>
      <c r="AA76" s="423">
        <f>IF(RIGHT(Z$12,2)&lt;=RIGHT(ANALISIS!$D$15,2),ROUND(Z76*$D76,2),0)</f>
        <v>0</v>
      </c>
      <c r="AB76" s="159">
        <f t="shared" ref="AB76:AB81" si="111">IFERROR(ROUND(AA76/$I76,4),"")</f>
        <v>0</v>
      </c>
      <c r="AC76" s="101"/>
      <c r="AD76" s="423">
        <f>IF(RIGHT(AC$12,2)&lt;=RIGHT(ANALISIS!$D$15,2),ROUND(AC76*$D76,2),0)</f>
        <v>0</v>
      </c>
      <c r="AE76" s="159">
        <f t="shared" ref="AE76:AE81" si="112">IFERROR(ROUND(AD76/$I76,4),"")</f>
        <v>0</v>
      </c>
      <c r="AF76" s="101"/>
      <c r="AG76" s="423">
        <f>IF(RIGHT(AF$12,2)&lt;=RIGHT(ANALISIS!$D$15,2),ROUND(AF76*$D76,2),0)</f>
        <v>0</v>
      </c>
      <c r="AH76" s="159">
        <f t="shared" ref="AH76:AH81" si="113">IFERROR(ROUND(AG76/$I76,4),"")</f>
        <v>0</v>
      </c>
      <c r="AI76" s="101"/>
      <c r="AJ76" s="423">
        <f>IF(RIGHT(AI$12,2)&lt;=RIGHT(ANALISIS!$D$15,2),ROUND(AI76*$D76,2),0)</f>
        <v>0</v>
      </c>
      <c r="AK76" s="159">
        <f t="shared" ref="AK76:AK81" si="114">IFERROR(ROUND(AJ76/$I76,4),"")</f>
        <v>0</v>
      </c>
      <c r="AL76" s="101"/>
      <c r="AM76" s="423">
        <f>IF(RIGHT(AL$12,2)&lt;=RIGHT(ANALISIS!$D$15,2),ROUND(AL76*$D76,2),0)</f>
        <v>0</v>
      </c>
      <c r="AN76" s="159">
        <f t="shared" ref="AN76:AN81" si="115">IFERROR(ROUND(AM76/$I76,4),"")</f>
        <v>0</v>
      </c>
      <c r="AO76" s="56">
        <f t="shared" ref="AO76:AO81" si="116">K76+N76+Q76+T76+W76+Z76+AL76</f>
        <v>0</v>
      </c>
      <c r="AP76" s="410">
        <f t="shared" si="15"/>
        <v>0</v>
      </c>
      <c r="AQ76" s="363">
        <f t="shared" ref="AQ76:AQ81" si="117">IFERROR(ROUND(AO76/H76,4),"")</f>
        <v>0</v>
      </c>
      <c r="AR76" s="363">
        <f t="shared" ref="AR76:AR81" si="118">IFERROR(ROUND(AP76/I76,4),"")</f>
        <v>0</v>
      </c>
      <c r="AT76" s="407">
        <f t="shared" si="47"/>
        <v>4120.6000000000004</v>
      </c>
      <c r="AU76" s="57">
        <f t="shared" ref="AU76:AU81" si="119">IFERROR(AT76/I76,"")</f>
        <v>1</v>
      </c>
      <c r="AX76" s="23">
        <f ca="1">IF(AP76&lt;&gt;INDIRECT("'"&amp;ANALISIS!$D$15&amp;"'!P"&amp;ROW()),1,0)</f>
        <v>0</v>
      </c>
    </row>
    <row r="77" spans="1:50" ht="18" customHeight="1">
      <c r="A77" s="54">
        <v>69</v>
      </c>
      <c r="B77" s="26" t="s">
        <v>70</v>
      </c>
      <c r="C77" s="27" t="s">
        <v>10</v>
      </c>
      <c r="D77" s="90">
        <v>337.66</v>
      </c>
      <c r="E77" s="90">
        <v>460.72</v>
      </c>
      <c r="F77" s="284">
        <f t="shared" si="103"/>
        <v>155566.72</v>
      </c>
      <c r="G77" s="372">
        <v>189.38</v>
      </c>
      <c r="H77" s="373">
        <v>650.1</v>
      </c>
      <c r="I77" s="373">
        <f t="shared" si="104"/>
        <v>219512.77</v>
      </c>
      <c r="J77" s="374">
        <f t="shared" si="105"/>
        <v>0.41110000000000002</v>
      </c>
      <c r="K77" s="97">
        <v>460.72</v>
      </c>
      <c r="L77" s="408">
        <f>IF(RIGHT(K$12,2)&lt;=RIGHT(ANALISIS!$D$15,2),ROUND(K77*$D77,2),0)</f>
        <v>155566.72</v>
      </c>
      <c r="M77" s="160">
        <f t="shared" si="106"/>
        <v>0.7087</v>
      </c>
      <c r="N77" s="97"/>
      <c r="O77" s="408">
        <f>IF(RIGHT(N$12,2)&lt;=RIGHT(ANALISIS!$D$15,2),ROUND(N77*$D77,2),0)</f>
        <v>0</v>
      </c>
      <c r="P77" s="160">
        <f t="shared" si="107"/>
        <v>0</v>
      </c>
      <c r="Q77" s="97"/>
      <c r="R77" s="408">
        <f>IF(RIGHT(Q$12,2)&lt;=RIGHT(ANALISIS!$D$15,2),ROUND(Q77*$D77,2),0)</f>
        <v>0</v>
      </c>
      <c r="S77" s="160">
        <f t="shared" si="108"/>
        <v>0</v>
      </c>
      <c r="T77" s="89"/>
      <c r="U77" s="408">
        <f>IF(RIGHT(T$12,2)&lt;=RIGHT(ANALISIS!$D$15,2),ROUND(T77*$D77,2),0)</f>
        <v>0</v>
      </c>
      <c r="V77" s="160">
        <f t="shared" si="109"/>
        <v>0</v>
      </c>
      <c r="W77" s="89"/>
      <c r="X77" s="408">
        <f>IF(RIGHT(W$12,2)&lt;=RIGHT(ANALISIS!$D$15,2),ROUND(W77*$D77,2),0)</f>
        <v>0</v>
      </c>
      <c r="Y77" s="160">
        <f t="shared" si="110"/>
        <v>0</v>
      </c>
      <c r="Z77" s="97"/>
      <c r="AA77" s="412">
        <f>IF(RIGHT(Z$12,2)&lt;=RIGHT(ANALISIS!$D$15,2),ROUND(Z77*$D77,2),0)</f>
        <v>0</v>
      </c>
      <c r="AB77" s="160">
        <f t="shared" si="111"/>
        <v>0</v>
      </c>
      <c r="AC77" s="97"/>
      <c r="AD77" s="412">
        <f>IF(RIGHT(AC$12,2)&lt;=RIGHT(ANALISIS!$D$15,2),ROUND(AC77*$D77,2),0)</f>
        <v>0</v>
      </c>
      <c r="AE77" s="160">
        <f t="shared" si="112"/>
        <v>0</v>
      </c>
      <c r="AF77" s="97"/>
      <c r="AG77" s="412">
        <f>IF(RIGHT(AF$12,2)&lt;=RIGHT(ANALISIS!$D$15,2),ROUND(AF77*$D77,2),0)</f>
        <v>0</v>
      </c>
      <c r="AH77" s="160">
        <f t="shared" si="113"/>
        <v>0</v>
      </c>
      <c r="AI77" s="97"/>
      <c r="AJ77" s="412">
        <f>IF(RIGHT(AI$12,2)&lt;=RIGHT(ANALISIS!$D$15,2),ROUND(AI77*$D77,2),0)</f>
        <v>0</v>
      </c>
      <c r="AK77" s="160">
        <f t="shared" si="114"/>
        <v>0</v>
      </c>
      <c r="AL77" s="97"/>
      <c r="AM77" s="412">
        <f>IF(RIGHT(AL$12,2)&lt;=RIGHT(ANALISIS!$D$15,2),ROUND(AL77*$D77,2),0)</f>
        <v>0</v>
      </c>
      <c r="AN77" s="160">
        <f t="shared" si="115"/>
        <v>0</v>
      </c>
      <c r="AO77" s="50">
        <f t="shared" si="116"/>
        <v>460.72</v>
      </c>
      <c r="AP77" s="413">
        <f t="shared" si="15"/>
        <v>155566.72</v>
      </c>
      <c r="AQ77" s="364">
        <f t="shared" si="117"/>
        <v>0.71</v>
      </c>
      <c r="AR77" s="364">
        <f t="shared" si="118"/>
        <v>0.71</v>
      </c>
      <c r="AT77" s="411">
        <f t="shared" si="47"/>
        <v>63946.05</v>
      </c>
      <c r="AU77" s="58">
        <f t="shared" si="119"/>
        <v>0.28999999999999998</v>
      </c>
      <c r="AX77" s="23">
        <f ca="1">IF(AP77&lt;&gt;INDIRECT("'"&amp;ANALISIS!$D$15&amp;"'!P"&amp;ROW()),1,0)</f>
        <v>0</v>
      </c>
    </row>
    <row r="78" spans="1:50" ht="18" customHeight="1">
      <c r="A78" s="54">
        <f>1+A77</f>
        <v>70</v>
      </c>
      <c r="B78" s="26" t="s">
        <v>71</v>
      </c>
      <c r="C78" s="27" t="s">
        <v>18</v>
      </c>
      <c r="D78" s="90">
        <v>11160.89</v>
      </c>
      <c r="E78" s="90">
        <v>0.2</v>
      </c>
      <c r="F78" s="284">
        <f t="shared" si="103"/>
        <v>2232.1799999999998</v>
      </c>
      <c r="G78" s="372">
        <v>0</v>
      </c>
      <c r="H78" s="373">
        <v>0.2</v>
      </c>
      <c r="I78" s="373">
        <f t="shared" si="104"/>
        <v>2232.1799999999998</v>
      </c>
      <c r="J78" s="374">
        <f t="shared" si="105"/>
        <v>0</v>
      </c>
      <c r="K78" s="98"/>
      <c r="L78" s="412">
        <f>IF(RIGHT(K$12,2)&lt;=RIGHT(ANALISIS!$D$15,2),ROUND(K78*$D78,2),0)</f>
        <v>0</v>
      </c>
      <c r="M78" s="160">
        <f t="shared" si="106"/>
        <v>0</v>
      </c>
      <c r="N78" s="97"/>
      <c r="O78" s="412">
        <f>IF(RIGHT(N$12,2)&lt;=RIGHT(ANALISIS!$D$15,2),ROUND(N78*$D78,2),0)</f>
        <v>0</v>
      </c>
      <c r="P78" s="160">
        <f t="shared" si="107"/>
        <v>0</v>
      </c>
      <c r="Q78" s="97"/>
      <c r="R78" s="412">
        <f>IF(RIGHT(Q$12,2)&lt;=RIGHT(ANALISIS!$D$15,2),ROUND(Q78*$D78,2),0)</f>
        <v>0</v>
      </c>
      <c r="S78" s="160">
        <f t="shared" si="108"/>
        <v>0</v>
      </c>
      <c r="T78" s="89"/>
      <c r="U78" s="408">
        <f>IF(RIGHT(T$12,2)&lt;=RIGHT(ANALISIS!$D$15,2),ROUND(T78*$D78,2),0)</f>
        <v>0</v>
      </c>
      <c r="V78" s="160">
        <f t="shared" si="109"/>
        <v>0</v>
      </c>
      <c r="W78" s="97"/>
      <c r="X78" s="408">
        <f>IF(RIGHT(W$12,2)&lt;=RIGHT(ANALISIS!$D$15,2),ROUND(W78*$D78,2),0)</f>
        <v>0</v>
      </c>
      <c r="Y78" s="160">
        <f t="shared" si="110"/>
        <v>0</v>
      </c>
      <c r="Z78" s="97"/>
      <c r="AA78" s="412">
        <f>IF(RIGHT(Z$12,2)&lt;=RIGHT(ANALISIS!$D$15,2),ROUND(Z78*$D78,2),0)</f>
        <v>0</v>
      </c>
      <c r="AB78" s="160">
        <f t="shared" si="111"/>
        <v>0</v>
      </c>
      <c r="AC78" s="97"/>
      <c r="AD78" s="412">
        <f>IF(RIGHT(AC$12,2)&lt;=RIGHT(ANALISIS!$D$15,2),ROUND(AC78*$D78,2),0)</f>
        <v>0</v>
      </c>
      <c r="AE78" s="160">
        <f t="shared" si="112"/>
        <v>0</v>
      </c>
      <c r="AF78" s="97"/>
      <c r="AG78" s="412">
        <f>IF(RIGHT(AF$12,2)&lt;=RIGHT(ANALISIS!$D$15,2),ROUND(AF78*$D78,2),0)</f>
        <v>0</v>
      </c>
      <c r="AH78" s="160">
        <f t="shared" si="113"/>
        <v>0</v>
      </c>
      <c r="AI78" s="97"/>
      <c r="AJ78" s="412">
        <f>IF(RIGHT(AI$12,2)&lt;=RIGHT(ANALISIS!$D$15,2),ROUND(AI78*$D78,2),0)</f>
        <v>0</v>
      </c>
      <c r="AK78" s="160">
        <f t="shared" si="114"/>
        <v>0</v>
      </c>
      <c r="AL78" s="97"/>
      <c r="AM78" s="412">
        <f>IF(RIGHT(AL$12,2)&lt;=RIGHT(ANALISIS!$D$15,2),ROUND(AL78*$D78,2),0)</f>
        <v>0</v>
      </c>
      <c r="AN78" s="160">
        <f t="shared" si="115"/>
        <v>0</v>
      </c>
      <c r="AO78" s="50">
        <f t="shared" si="116"/>
        <v>0</v>
      </c>
      <c r="AP78" s="413">
        <f t="shared" si="15"/>
        <v>0</v>
      </c>
      <c r="AQ78" s="364">
        <f t="shared" si="117"/>
        <v>0</v>
      </c>
      <c r="AR78" s="364">
        <f t="shared" si="118"/>
        <v>0</v>
      </c>
      <c r="AT78" s="411">
        <f t="shared" si="47"/>
        <v>2232.1799999999998</v>
      </c>
      <c r="AU78" s="58">
        <f t="shared" si="119"/>
        <v>1</v>
      </c>
      <c r="AX78" s="23">
        <f ca="1">IF(AP78&lt;&gt;INDIRECT("'"&amp;ANALISIS!$D$15&amp;"'!P"&amp;ROW()),1,0)</f>
        <v>0</v>
      </c>
    </row>
    <row r="79" spans="1:50" ht="18" customHeight="1">
      <c r="A79" s="54">
        <f>1+A78</f>
        <v>71</v>
      </c>
      <c r="B79" s="26" t="s">
        <v>72</v>
      </c>
      <c r="C79" s="27" t="s">
        <v>25</v>
      </c>
      <c r="D79" s="90">
        <v>3424.36</v>
      </c>
      <c r="E79" s="90">
        <v>5.57</v>
      </c>
      <c r="F79" s="284">
        <f t="shared" si="103"/>
        <v>19073.689999999999</v>
      </c>
      <c r="G79" s="372">
        <v>0</v>
      </c>
      <c r="H79" s="373">
        <v>5.57</v>
      </c>
      <c r="I79" s="373">
        <f t="shared" si="104"/>
        <v>19073.689999999999</v>
      </c>
      <c r="J79" s="374">
        <f t="shared" si="105"/>
        <v>0</v>
      </c>
      <c r="K79" s="98"/>
      <c r="L79" s="412">
        <f>IF(RIGHT(K$12,2)&lt;=RIGHT(ANALISIS!$D$15,2),ROUND(K79*$D79,2),0)</f>
        <v>0</v>
      </c>
      <c r="M79" s="160">
        <f t="shared" si="106"/>
        <v>0</v>
      </c>
      <c r="N79" s="97"/>
      <c r="O79" s="412">
        <f>IF(RIGHT(N$12,2)&lt;=RIGHT(ANALISIS!$D$15,2),ROUND(N79*$D79,2),0)</f>
        <v>0</v>
      </c>
      <c r="P79" s="160">
        <f t="shared" si="107"/>
        <v>0</v>
      </c>
      <c r="Q79" s="97"/>
      <c r="R79" s="412">
        <f>IF(RIGHT(Q$12,2)&lt;=RIGHT(ANALISIS!$D$15,2),ROUND(Q79*$D79,2),0)</f>
        <v>0</v>
      </c>
      <c r="S79" s="160">
        <f t="shared" si="108"/>
        <v>0</v>
      </c>
      <c r="T79" s="89"/>
      <c r="U79" s="408">
        <f>IF(RIGHT(T$12,2)&lt;=RIGHT(ANALISIS!$D$15,2),ROUND(T79*$D79,2),0)</f>
        <v>0</v>
      </c>
      <c r="V79" s="160">
        <f t="shared" si="109"/>
        <v>0</v>
      </c>
      <c r="W79" s="97"/>
      <c r="X79" s="408">
        <f>IF(RIGHT(W$12,2)&lt;=RIGHT(ANALISIS!$D$15,2),ROUND(W79*$D79,2),0)</f>
        <v>0</v>
      </c>
      <c r="Y79" s="160">
        <f t="shared" si="110"/>
        <v>0</v>
      </c>
      <c r="Z79" s="97"/>
      <c r="AA79" s="412">
        <f>IF(RIGHT(Z$12,2)&lt;=RIGHT(ANALISIS!$D$15,2),ROUND(Z79*$D79,2),0)</f>
        <v>0</v>
      </c>
      <c r="AB79" s="160">
        <f t="shared" si="111"/>
        <v>0</v>
      </c>
      <c r="AC79" s="97"/>
      <c r="AD79" s="412">
        <f>IF(RIGHT(AC$12,2)&lt;=RIGHT(ANALISIS!$D$15,2),ROUND(AC79*$D79,2),0)</f>
        <v>0</v>
      </c>
      <c r="AE79" s="160">
        <f t="shared" si="112"/>
        <v>0</v>
      </c>
      <c r="AF79" s="97"/>
      <c r="AG79" s="412">
        <f>IF(RIGHT(AF$12,2)&lt;=RIGHT(ANALISIS!$D$15,2),ROUND(AF79*$D79,2),0)</f>
        <v>0</v>
      </c>
      <c r="AH79" s="160">
        <f t="shared" si="113"/>
        <v>0</v>
      </c>
      <c r="AI79" s="97"/>
      <c r="AJ79" s="412">
        <f>IF(RIGHT(AI$12,2)&lt;=RIGHT(ANALISIS!$D$15,2),ROUND(AI79*$D79,2),0)</f>
        <v>0</v>
      </c>
      <c r="AK79" s="160">
        <f t="shared" si="114"/>
        <v>0</v>
      </c>
      <c r="AL79" s="97"/>
      <c r="AM79" s="412">
        <f>IF(RIGHT(AL$12,2)&lt;=RIGHT(ANALISIS!$D$15,2),ROUND(AL79*$D79,2),0)</f>
        <v>0</v>
      </c>
      <c r="AN79" s="160">
        <f t="shared" si="115"/>
        <v>0</v>
      </c>
      <c r="AO79" s="50">
        <f t="shared" si="116"/>
        <v>0</v>
      </c>
      <c r="AP79" s="413">
        <f t="shared" si="15"/>
        <v>0</v>
      </c>
      <c r="AQ79" s="364">
        <f t="shared" si="117"/>
        <v>0</v>
      </c>
      <c r="AR79" s="364">
        <f t="shared" si="118"/>
        <v>0</v>
      </c>
      <c r="AT79" s="411">
        <f t="shared" si="47"/>
        <v>19073.689999999999</v>
      </c>
      <c r="AU79" s="58">
        <f t="shared" si="119"/>
        <v>1</v>
      </c>
      <c r="AX79" s="23">
        <f ca="1">IF(AP79&lt;&gt;INDIRECT("'"&amp;ANALISIS!$D$15&amp;"'!P"&amp;ROW()),1,0)</f>
        <v>0</v>
      </c>
    </row>
    <row r="80" spans="1:50" ht="18" customHeight="1">
      <c r="A80" s="54">
        <f>1+A79</f>
        <v>72</v>
      </c>
      <c r="B80" s="26" t="s">
        <v>73</v>
      </c>
      <c r="C80" s="27" t="s">
        <v>25</v>
      </c>
      <c r="D80" s="90">
        <v>5452.74</v>
      </c>
      <c r="E80" s="90">
        <v>4.78</v>
      </c>
      <c r="F80" s="284">
        <f t="shared" si="103"/>
        <v>26064.1</v>
      </c>
      <c r="G80" s="372">
        <v>0</v>
      </c>
      <c r="H80" s="373">
        <v>4.78</v>
      </c>
      <c r="I80" s="373">
        <f t="shared" si="104"/>
        <v>26064.1</v>
      </c>
      <c r="J80" s="374">
        <f t="shared" si="105"/>
        <v>0</v>
      </c>
      <c r="K80" s="98"/>
      <c r="L80" s="412">
        <f>IF(RIGHT(K$12,2)&lt;=RIGHT(ANALISIS!$D$15,2),ROUND(K80*$D80,2),0)</f>
        <v>0</v>
      </c>
      <c r="M80" s="160">
        <f t="shared" si="106"/>
        <v>0</v>
      </c>
      <c r="N80" s="97"/>
      <c r="O80" s="412">
        <f>IF(RIGHT(N$12,2)&lt;=RIGHT(ANALISIS!$D$15,2),ROUND(N80*$D80,2),0)</f>
        <v>0</v>
      </c>
      <c r="P80" s="160">
        <f t="shared" si="107"/>
        <v>0</v>
      </c>
      <c r="Q80" s="97"/>
      <c r="R80" s="412">
        <f>IF(RIGHT(Q$12,2)&lt;=RIGHT(ANALISIS!$D$15,2),ROUND(Q80*$D80,2),0)</f>
        <v>0</v>
      </c>
      <c r="S80" s="160">
        <f t="shared" si="108"/>
        <v>0</v>
      </c>
      <c r="T80" s="89"/>
      <c r="U80" s="408">
        <f>IF(RIGHT(T$12,2)&lt;=RIGHT(ANALISIS!$D$15,2),ROUND(T80*$D80,2),0)</f>
        <v>0</v>
      </c>
      <c r="V80" s="160">
        <f t="shared" si="109"/>
        <v>0</v>
      </c>
      <c r="W80" s="97"/>
      <c r="X80" s="408">
        <f>IF(RIGHT(W$12,2)&lt;=RIGHT(ANALISIS!$D$15,2),ROUND(W80*$D80,2),0)</f>
        <v>0</v>
      </c>
      <c r="Y80" s="160">
        <f t="shared" si="110"/>
        <v>0</v>
      </c>
      <c r="Z80" s="97"/>
      <c r="AA80" s="412">
        <f>IF(RIGHT(Z$12,2)&lt;=RIGHT(ANALISIS!$D$15,2),ROUND(Z80*$D80,2),0)</f>
        <v>0</v>
      </c>
      <c r="AB80" s="160">
        <f t="shared" si="111"/>
        <v>0</v>
      </c>
      <c r="AC80" s="97"/>
      <c r="AD80" s="412">
        <f>IF(RIGHT(AC$12,2)&lt;=RIGHT(ANALISIS!$D$15,2),ROUND(AC80*$D80,2),0)</f>
        <v>0</v>
      </c>
      <c r="AE80" s="160">
        <f t="shared" si="112"/>
        <v>0</v>
      </c>
      <c r="AF80" s="97"/>
      <c r="AG80" s="412">
        <f>IF(RIGHT(AF$12,2)&lt;=RIGHT(ANALISIS!$D$15,2),ROUND(AF80*$D80,2),0)</f>
        <v>0</v>
      </c>
      <c r="AH80" s="160">
        <f t="shared" si="113"/>
        <v>0</v>
      </c>
      <c r="AI80" s="97"/>
      <c r="AJ80" s="412">
        <f>IF(RIGHT(AI$12,2)&lt;=RIGHT(ANALISIS!$D$15,2),ROUND(AI80*$D80,2),0)</f>
        <v>0</v>
      </c>
      <c r="AK80" s="160">
        <f t="shared" si="114"/>
        <v>0</v>
      </c>
      <c r="AL80" s="97"/>
      <c r="AM80" s="412">
        <f>IF(RIGHT(AL$12,2)&lt;=RIGHT(ANALISIS!$D$15,2),ROUND(AL80*$D80,2),0)</f>
        <v>0</v>
      </c>
      <c r="AN80" s="160">
        <f t="shared" si="115"/>
        <v>0</v>
      </c>
      <c r="AO80" s="50">
        <f t="shared" si="116"/>
        <v>0</v>
      </c>
      <c r="AP80" s="413">
        <f t="shared" si="15"/>
        <v>0</v>
      </c>
      <c r="AQ80" s="364">
        <f t="shared" si="117"/>
        <v>0</v>
      </c>
      <c r="AR80" s="364">
        <f t="shared" si="118"/>
        <v>0</v>
      </c>
      <c r="AT80" s="411">
        <f t="shared" si="47"/>
        <v>26064.1</v>
      </c>
      <c r="AU80" s="58">
        <f t="shared" si="119"/>
        <v>1</v>
      </c>
      <c r="AX80" s="23">
        <f ca="1">IF(AP80&lt;&gt;INDIRECT("'"&amp;ANALISIS!$D$15&amp;"'!P"&amp;ROW()),1,0)</f>
        <v>0</v>
      </c>
    </row>
    <row r="81" spans="1:50" ht="18" customHeight="1">
      <c r="A81" s="52">
        <v>74</v>
      </c>
      <c r="B81" s="32" t="s">
        <v>74</v>
      </c>
      <c r="C81" s="29" t="s">
        <v>18</v>
      </c>
      <c r="D81" s="93">
        <v>6376.18</v>
      </c>
      <c r="E81" s="93">
        <v>0.4</v>
      </c>
      <c r="F81" s="288">
        <f t="shared" si="103"/>
        <v>2550.4699999999998</v>
      </c>
      <c r="G81" s="375">
        <v>0</v>
      </c>
      <c r="H81" s="376">
        <v>0.4</v>
      </c>
      <c r="I81" s="376">
        <f t="shared" si="104"/>
        <v>2550.4699999999998</v>
      </c>
      <c r="J81" s="377">
        <f t="shared" si="105"/>
        <v>0</v>
      </c>
      <c r="K81" s="99"/>
      <c r="L81" s="417">
        <f>IF(RIGHT(K$12,2)&lt;=RIGHT(ANALISIS!$D$15,2),ROUND(K81*$D81,2),0)</f>
        <v>0</v>
      </c>
      <c r="M81" s="161">
        <f t="shared" si="106"/>
        <v>0</v>
      </c>
      <c r="N81" s="100"/>
      <c r="O81" s="417">
        <f>IF(RIGHT(N$12,2)&lt;=RIGHT(ANALISIS!$D$15,2),ROUND(N81*$D81,2),0)</f>
        <v>0</v>
      </c>
      <c r="P81" s="161">
        <f t="shared" si="107"/>
        <v>0</v>
      </c>
      <c r="Q81" s="100"/>
      <c r="R81" s="417">
        <f>IF(RIGHT(Q$12,2)&lt;=RIGHT(ANALISIS!$D$15,2),ROUND(Q81*$D81,2),0)</f>
        <v>0</v>
      </c>
      <c r="S81" s="161">
        <f t="shared" si="108"/>
        <v>0</v>
      </c>
      <c r="T81" s="100"/>
      <c r="U81" s="417">
        <f>IF(RIGHT(T$12,2)&lt;=RIGHT(ANALISIS!$D$15,2),ROUND(T81*$D81,2),0)</f>
        <v>0</v>
      </c>
      <c r="V81" s="161">
        <f t="shared" si="109"/>
        <v>0</v>
      </c>
      <c r="W81" s="100"/>
      <c r="X81" s="417">
        <f>IF(RIGHT(W$12,2)&lt;=RIGHT(ANALISIS!$D$15,2),ROUND(W81*$D81,2),0)</f>
        <v>0</v>
      </c>
      <c r="Y81" s="161">
        <f t="shared" si="110"/>
        <v>0</v>
      </c>
      <c r="Z81" s="100"/>
      <c r="AA81" s="417">
        <f>IF(RIGHT(Z$12,2)&lt;=RIGHT(ANALISIS!$D$15,2),ROUND(Z81*$D81,2),0)</f>
        <v>0</v>
      </c>
      <c r="AB81" s="161">
        <f t="shared" si="111"/>
        <v>0</v>
      </c>
      <c r="AC81" s="100"/>
      <c r="AD81" s="417">
        <f>IF(RIGHT(AC$12,2)&lt;=RIGHT(ANALISIS!$D$15,2),ROUND(AC81*$D81,2),0)</f>
        <v>0</v>
      </c>
      <c r="AE81" s="161">
        <f t="shared" si="112"/>
        <v>0</v>
      </c>
      <c r="AF81" s="100"/>
      <c r="AG81" s="417">
        <f>IF(RIGHT(AF$12,2)&lt;=RIGHT(ANALISIS!$D$15,2),ROUND(AF81*$D81,2),0)</f>
        <v>0</v>
      </c>
      <c r="AH81" s="161">
        <f t="shared" si="113"/>
        <v>0</v>
      </c>
      <c r="AI81" s="100"/>
      <c r="AJ81" s="417">
        <f>IF(RIGHT(AI$12,2)&lt;=RIGHT(ANALISIS!$D$15,2),ROUND(AI81*$D81,2),0)</f>
        <v>0</v>
      </c>
      <c r="AK81" s="161">
        <f t="shared" si="114"/>
        <v>0</v>
      </c>
      <c r="AL81" s="100"/>
      <c r="AM81" s="417">
        <f>IF(RIGHT(AL$12,2)&lt;=RIGHT(ANALISIS!$D$15,2),ROUND(AL81*$D81,2),0)</f>
        <v>0</v>
      </c>
      <c r="AN81" s="161">
        <f t="shared" si="115"/>
        <v>0</v>
      </c>
      <c r="AO81" s="59">
        <f t="shared" si="116"/>
        <v>0</v>
      </c>
      <c r="AP81" s="418">
        <f t="shared" ref="AP81" si="120">L81+O81+R81+U81+X81+AA81+AD81+AG81+AJ81+AM81</f>
        <v>0</v>
      </c>
      <c r="AQ81" s="164">
        <f t="shared" si="117"/>
        <v>0</v>
      </c>
      <c r="AR81" s="164">
        <f t="shared" si="118"/>
        <v>0</v>
      </c>
      <c r="AT81" s="416">
        <f t="shared" si="47"/>
        <v>2550.4699999999998</v>
      </c>
      <c r="AU81" s="60">
        <f t="shared" si="119"/>
        <v>1</v>
      </c>
      <c r="AX81" s="23">
        <f ca="1">IF(AP81&lt;&gt;INDIRECT("'"&amp;ANALISIS!$D$15&amp;"'!P"&amp;ROW()),1,0)</f>
        <v>0</v>
      </c>
    </row>
    <row r="82" spans="1:50" ht="13.8">
      <c r="A82" s="147"/>
      <c r="B82" s="148"/>
      <c r="C82" s="149"/>
      <c r="D82" s="150"/>
      <c r="E82" s="151"/>
      <c r="F82" s="51"/>
      <c r="G82" s="152"/>
      <c r="H82" s="153"/>
      <c r="I82" s="153"/>
      <c r="J82" s="152"/>
      <c r="K82" s="152"/>
      <c r="L82" s="152"/>
      <c r="M82" s="152"/>
      <c r="N82" s="152"/>
      <c r="O82" s="152"/>
      <c r="P82" s="152"/>
      <c r="Q82" s="152"/>
      <c r="R82" s="152"/>
      <c r="S82" s="152"/>
      <c r="T82" s="152"/>
      <c r="U82" s="152"/>
      <c r="V82" s="152"/>
      <c r="W82" s="152"/>
      <c r="X82" s="152"/>
      <c r="Y82" s="152"/>
      <c r="Z82" s="152"/>
      <c r="AA82" s="152"/>
      <c r="AB82" s="152"/>
      <c r="AC82" s="152"/>
      <c r="AD82" s="152"/>
      <c r="AE82" s="152"/>
      <c r="AF82" s="152"/>
      <c r="AG82" s="152"/>
      <c r="AH82" s="152"/>
      <c r="AI82" s="152"/>
      <c r="AJ82" s="152"/>
      <c r="AK82" s="152"/>
      <c r="AL82" s="152"/>
      <c r="AM82" s="152"/>
      <c r="AN82" s="152"/>
      <c r="AO82" s="154"/>
      <c r="AP82" s="154"/>
      <c r="AQ82" s="33"/>
      <c r="AT82" s="23"/>
      <c r="AU82" s="23"/>
    </row>
    <row r="83" spans="1:50" ht="30" customHeight="1">
      <c r="A83" s="724" t="s">
        <v>16</v>
      </c>
      <c r="B83" s="725"/>
      <c r="C83" s="725"/>
      <c r="D83" s="725"/>
      <c r="E83" s="166"/>
      <c r="F83" s="174">
        <f>SUM(F16:F81)</f>
        <v>16903840.539999999</v>
      </c>
      <c r="G83" s="166"/>
      <c r="H83" s="167"/>
      <c r="I83" s="173">
        <f>SUM(I16:I81)</f>
        <v>16903840.539999999</v>
      </c>
      <c r="J83" s="344"/>
      <c r="K83" s="170" t="s">
        <v>183</v>
      </c>
      <c r="L83" s="171">
        <f>SUM(L16:L81)</f>
        <v>1748294.44</v>
      </c>
      <c r="M83" s="168"/>
      <c r="N83" s="170" t="s">
        <v>183</v>
      </c>
      <c r="O83" s="171">
        <f>SUM(O16:O81)</f>
        <v>423382.18</v>
      </c>
      <c r="P83" s="168"/>
      <c r="Q83" s="170" t="s">
        <v>183</v>
      </c>
      <c r="R83" s="171">
        <f>SUM(R16:R81)</f>
        <v>1404557.81</v>
      </c>
      <c r="S83" s="168"/>
      <c r="T83" s="170" t="s">
        <v>183</v>
      </c>
      <c r="U83" s="171">
        <f>SUM(U16:U81)</f>
        <v>1254299.1200000001</v>
      </c>
      <c r="V83" s="168"/>
      <c r="W83" s="170" t="s">
        <v>183</v>
      </c>
      <c r="X83" s="171">
        <f>SUM(X16:X81)</f>
        <v>1436153.95</v>
      </c>
      <c r="Y83" s="168"/>
      <c r="Z83" s="170" t="s">
        <v>183</v>
      </c>
      <c r="AA83" s="171">
        <f>SUM(AA16:AA81)</f>
        <v>3205525.45</v>
      </c>
      <c r="AB83" s="168"/>
      <c r="AC83" s="170" t="s">
        <v>183</v>
      </c>
      <c r="AD83" s="171">
        <f>SUM(AD16:AD81)</f>
        <v>1502233.73</v>
      </c>
      <c r="AE83" s="168"/>
      <c r="AF83" s="170" t="s">
        <v>183</v>
      </c>
      <c r="AG83" s="171">
        <f>SUM(AG16:AG81)</f>
        <v>0</v>
      </c>
      <c r="AH83" s="168"/>
      <c r="AI83" s="170" t="s">
        <v>183</v>
      </c>
      <c r="AJ83" s="171">
        <f>SUM(AJ16:AJ81)</f>
        <v>0</v>
      </c>
      <c r="AK83" s="168"/>
      <c r="AL83" s="170" t="s">
        <v>183</v>
      </c>
      <c r="AM83" s="171">
        <f>SUM(AM76:AM81)</f>
        <v>0</v>
      </c>
      <c r="AN83" s="168"/>
      <c r="AO83" s="169" t="s">
        <v>8</v>
      </c>
      <c r="AP83" s="168">
        <f>SUM(AP16:AP81)</f>
        <v>10974446.68</v>
      </c>
      <c r="AQ83" s="33"/>
      <c r="AR83" s="33"/>
      <c r="AT83" s="143">
        <f>SUM(AT16:AT81)</f>
        <v>5929393.8600000003</v>
      </c>
      <c r="AU83" s="144" t="s">
        <v>8</v>
      </c>
    </row>
    <row r="84" spans="1:50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5"/>
      <c r="L84" s="33"/>
      <c r="M84" s="33"/>
      <c r="N84" s="35"/>
      <c r="O84" s="33"/>
      <c r="P84" s="33"/>
      <c r="Q84" s="35"/>
      <c r="R84" s="33"/>
      <c r="S84" s="33"/>
      <c r="T84" s="35"/>
      <c r="U84" s="33"/>
      <c r="V84" s="33"/>
      <c r="W84" s="35"/>
      <c r="X84" s="33"/>
      <c r="Y84" s="33"/>
      <c r="Z84" s="35"/>
      <c r="AA84" s="33"/>
      <c r="AB84" s="33"/>
      <c r="AC84" s="35"/>
      <c r="AD84" s="33"/>
      <c r="AE84" s="33"/>
      <c r="AF84" s="35"/>
      <c r="AG84" s="33"/>
      <c r="AH84" s="33"/>
      <c r="AI84" s="35"/>
      <c r="AJ84" s="33"/>
      <c r="AK84" s="33"/>
      <c r="AL84" s="35"/>
      <c r="AM84" s="33"/>
      <c r="AN84" s="33"/>
      <c r="AO84" s="47"/>
      <c r="AP84" s="47"/>
      <c r="AT84" s="23"/>
      <c r="AU84" s="23"/>
    </row>
    <row r="85" spans="1:50" ht="30" customHeight="1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170" t="s">
        <v>184</v>
      </c>
      <c r="L85" s="171">
        <f>L83+I85</f>
        <v>1748294.44</v>
      </c>
      <c r="M85" s="33"/>
      <c r="N85" s="170" t="s">
        <v>184</v>
      </c>
      <c r="O85" s="171">
        <f>O83+L85</f>
        <v>2171676.62</v>
      </c>
      <c r="P85" s="33"/>
      <c r="Q85" s="170" t="s">
        <v>184</v>
      </c>
      <c r="R85" s="171">
        <f>R83+O85</f>
        <v>3576234.43</v>
      </c>
      <c r="S85" s="33"/>
      <c r="T85" s="170" t="s">
        <v>184</v>
      </c>
      <c r="U85" s="171">
        <f>U83+R85</f>
        <v>4830533.55</v>
      </c>
      <c r="V85" s="33"/>
      <c r="W85" s="170" t="s">
        <v>184</v>
      </c>
      <c r="X85" s="171">
        <f>X83+U85</f>
        <v>6266687.5</v>
      </c>
      <c r="Y85" s="33"/>
      <c r="Z85" s="170" t="s">
        <v>184</v>
      </c>
      <c r="AA85" s="171">
        <f>AA83+X85</f>
        <v>9472212.9499999993</v>
      </c>
      <c r="AB85" s="33"/>
      <c r="AC85" s="170" t="s">
        <v>184</v>
      </c>
      <c r="AD85" s="171">
        <f>AD83+AA85</f>
        <v>10974446.68</v>
      </c>
      <c r="AE85" s="33"/>
      <c r="AF85" s="170" t="s">
        <v>184</v>
      </c>
      <c r="AG85" s="171">
        <f>AG83+AD85</f>
        <v>10974446.68</v>
      </c>
      <c r="AH85" s="33"/>
      <c r="AI85" s="170" t="s">
        <v>184</v>
      </c>
      <c r="AJ85" s="171">
        <f>AJ83+AG85</f>
        <v>10974446.68</v>
      </c>
      <c r="AK85" s="33"/>
      <c r="AL85" s="170" t="s">
        <v>184</v>
      </c>
      <c r="AM85" s="171">
        <f>AM83+AA85</f>
        <v>9472212.9499999993</v>
      </c>
      <c r="AN85" s="33"/>
      <c r="AO85" s="47"/>
      <c r="AP85" s="47"/>
      <c r="AT85" s="23"/>
      <c r="AU85" s="23"/>
    </row>
    <row r="86" spans="1:50">
      <c r="A86" s="33"/>
      <c r="B86" s="33"/>
      <c r="C86" s="33"/>
      <c r="D86" s="33"/>
      <c r="E86" s="33"/>
      <c r="F86" s="33"/>
      <c r="G86" s="33"/>
      <c r="H86" s="33"/>
      <c r="I86" s="34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  <c r="AO86" s="36"/>
      <c r="AP86" s="146"/>
      <c r="AQ86" s="37"/>
      <c r="AR86" s="35"/>
      <c r="AS86" s="33"/>
      <c r="AT86" s="146"/>
    </row>
    <row r="87" spans="1:50" ht="30" customHeight="1">
      <c r="A87" s="33"/>
      <c r="B87" s="33"/>
      <c r="C87" s="33"/>
      <c r="D87" s="33"/>
      <c r="E87" s="33"/>
      <c r="F87" s="30"/>
      <c r="G87" s="33"/>
      <c r="H87" s="33"/>
      <c r="I87" s="33"/>
      <c r="J87" s="33"/>
      <c r="K87" s="157" t="s">
        <v>169</v>
      </c>
      <c r="L87" s="156">
        <f>ROUND(L83/$I$83,4)</f>
        <v>0.10340000000000001</v>
      </c>
      <c r="M87" s="165"/>
      <c r="N87" s="157" t="s">
        <v>169</v>
      </c>
      <c r="O87" s="156">
        <f>ROUND(O83/$I$83,4)</f>
        <v>2.5000000000000001E-2</v>
      </c>
      <c r="P87" s="165"/>
      <c r="Q87" s="157" t="s">
        <v>169</v>
      </c>
      <c r="R87" s="156">
        <f>ROUND(R83/$I$83,4)</f>
        <v>8.3099999999999993E-2</v>
      </c>
      <c r="S87" s="165"/>
      <c r="T87" s="157" t="s">
        <v>169</v>
      </c>
      <c r="U87" s="156">
        <f>ROUND(U83/$I$83,4)</f>
        <v>7.4200000000000002E-2</v>
      </c>
      <c r="V87" s="165"/>
      <c r="W87" s="157" t="s">
        <v>169</v>
      </c>
      <c r="X87" s="156">
        <f>ROUND(X83/$I$83,4)</f>
        <v>8.5000000000000006E-2</v>
      </c>
      <c r="Y87" s="165"/>
      <c r="Z87" s="157" t="s">
        <v>169</v>
      </c>
      <c r="AA87" s="156">
        <f>ROUND(AA83/$I$83,4)</f>
        <v>0.18959999999999999</v>
      </c>
      <c r="AB87" s="310"/>
      <c r="AC87" s="157" t="s">
        <v>169</v>
      </c>
      <c r="AD87" s="156">
        <f>ROUND(AD83/$I$83,4)</f>
        <v>8.8900000000000007E-2</v>
      </c>
      <c r="AE87" s="310"/>
      <c r="AF87" s="157" t="s">
        <v>169</v>
      </c>
      <c r="AG87" s="156">
        <f>ROUND(AG83/$I$83,4)</f>
        <v>0</v>
      </c>
      <c r="AH87" s="310"/>
      <c r="AI87" s="157" t="s">
        <v>169</v>
      </c>
      <c r="AJ87" s="156">
        <f>ROUND(AJ83/$I$83,4)</f>
        <v>0</v>
      </c>
      <c r="AK87" s="310"/>
      <c r="AL87" s="157" t="s">
        <v>169</v>
      </c>
      <c r="AM87" s="156">
        <f>ROUND(AM83/$I$83,4)</f>
        <v>0</v>
      </c>
      <c r="AN87" s="33"/>
      <c r="AO87" s="36"/>
      <c r="AP87" s="38"/>
      <c r="AQ87" s="279"/>
      <c r="AR87" s="280"/>
      <c r="AS87" s="33"/>
      <c r="AT87" s="146"/>
    </row>
    <row r="88" spans="1:50">
      <c r="A88" s="33"/>
      <c r="B88" s="33"/>
      <c r="C88" s="33"/>
      <c r="D88" s="33"/>
      <c r="E88" s="33"/>
      <c r="F88" s="30"/>
      <c r="G88" s="33"/>
      <c r="H88" s="33"/>
      <c r="K88" s="311"/>
      <c r="L88" s="311"/>
      <c r="M88" s="311"/>
      <c r="N88" s="311"/>
      <c r="O88" s="311"/>
      <c r="P88" s="311"/>
      <c r="Q88" s="311"/>
      <c r="R88" s="311"/>
      <c r="S88" s="311"/>
      <c r="T88" s="311"/>
      <c r="U88" s="311"/>
      <c r="V88" s="311"/>
      <c r="W88" s="311"/>
      <c r="X88" s="311"/>
      <c r="Y88" s="311"/>
      <c r="Z88" s="311"/>
      <c r="AA88" s="311"/>
      <c r="AB88" s="310"/>
      <c r="AC88" s="311"/>
      <c r="AD88" s="311"/>
      <c r="AE88" s="310"/>
      <c r="AF88" s="311"/>
      <c r="AG88" s="311"/>
      <c r="AH88" s="310"/>
      <c r="AI88" s="311"/>
      <c r="AJ88" s="311"/>
      <c r="AK88" s="310"/>
      <c r="AL88" s="310"/>
      <c r="AM88" s="310"/>
      <c r="AN88" s="33"/>
      <c r="AO88" s="36"/>
      <c r="AP88" s="35"/>
      <c r="AQ88" s="37"/>
      <c r="AR88" s="158"/>
      <c r="AS88" s="33"/>
    </row>
    <row r="89" spans="1:50" ht="27" customHeight="1">
      <c r="A89" s="33"/>
      <c r="B89" s="33"/>
      <c r="C89" s="33"/>
      <c r="D89" s="33"/>
      <c r="E89" s="33"/>
      <c r="F89" s="33"/>
      <c r="G89" s="34"/>
      <c r="H89" s="33"/>
      <c r="I89" s="33"/>
      <c r="J89" s="33"/>
      <c r="K89" s="157" t="s">
        <v>161</v>
      </c>
      <c r="L89" s="156">
        <f>L87</f>
        <v>0.10340000000000001</v>
      </c>
      <c r="M89" s="310"/>
      <c r="N89" s="157" t="s">
        <v>161</v>
      </c>
      <c r="O89" s="156">
        <f>L89+O87</f>
        <v>0.12839999999999999</v>
      </c>
      <c r="P89" s="310"/>
      <c r="Q89" s="157" t="s">
        <v>161</v>
      </c>
      <c r="R89" s="156">
        <f>O89+R87</f>
        <v>0.21149999999999999</v>
      </c>
      <c r="S89" s="310"/>
      <c r="T89" s="157" t="s">
        <v>161</v>
      </c>
      <c r="U89" s="156">
        <f>R89+U87</f>
        <v>0.28570000000000001</v>
      </c>
      <c r="V89" s="312"/>
      <c r="W89" s="157" t="s">
        <v>161</v>
      </c>
      <c r="X89" s="156">
        <f>U89+X87</f>
        <v>0.37069999999999997</v>
      </c>
      <c r="Y89" s="310"/>
      <c r="Z89" s="157" t="s">
        <v>161</v>
      </c>
      <c r="AA89" s="156">
        <f>X89+AA87</f>
        <v>0.56030000000000002</v>
      </c>
      <c r="AB89" s="310"/>
      <c r="AC89" s="157" t="s">
        <v>161</v>
      </c>
      <c r="AD89" s="156">
        <f>AA89+AD87</f>
        <v>0.6492</v>
      </c>
      <c r="AE89" s="310"/>
      <c r="AF89" s="157" t="s">
        <v>161</v>
      </c>
      <c r="AG89" s="156">
        <f>AD89+AG87</f>
        <v>0.6492</v>
      </c>
      <c r="AH89" s="310"/>
      <c r="AI89" s="157" t="s">
        <v>161</v>
      </c>
      <c r="AJ89" s="156">
        <f>AG89+AJ87</f>
        <v>0.6492</v>
      </c>
      <c r="AK89" s="310"/>
      <c r="AL89" s="157" t="s">
        <v>161</v>
      </c>
      <c r="AM89" s="156">
        <f>AA89+AM87</f>
        <v>0.56030000000000002</v>
      </c>
      <c r="AN89" s="33"/>
      <c r="AO89" s="38"/>
      <c r="AP89" s="35"/>
      <c r="AQ89" s="38"/>
      <c r="AR89" s="35"/>
      <c r="AS89" s="35"/>
    </row>
    <row r="90" spans="1:50">
      <c r="A90" s="33"/>
      <c r="B90" s="33"/>
      <c r="C90" s="33"/>
      <c r="D90" s="33"/>
      <c r="E90" s="33"/>
      <c r="F90" s="33"/>
      <c r="G90" s="34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H90" s="33"/>
      <c r="AI90" s="33"/>
      <c r="AJ90" s="33"/>
      <c r="AK90" s="33"/>
      <c r="AL90" s="33"/>
      <c r="AM90" s="33"/>
      <c r="AN90" s="33"/>
      <c r="AO90" s="38"/>
      <c r="AS90" s="35"/>
    </row>
    <row r="91" spans="1:50">
      <c r="A91" s="33"/>
      <c r="B91" s="33"/>
      <c r="C91" s="33"/>
      <c r="D91" s="33"/>
      <c r="E91" s="33"/>
      <c r="F91" s="33"/>
      <c r="G91" s="34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H91" s="33"/>
      <c r="AI91" s="33"/>
      <c r="AJ91" s="33"/>
      <c r="AK91" s="33"/>
      <c r="AL91" s="33"/>
      <c r="AM91" s="33"/>
      <c r="AN91" s="33"/>
      <c r="AO91" s="38"/>
      <c r="AS91" s="35"/>
    </row>
    <row r="92" spans="1:50">
      <c r="A92" s="33"/>
      <c r="B92" s="33"/>
      <c r="C92" s="33"/>
      <c r="D92" s="33"/>
      <c r="E92" s="33"/>
      <c r="F92" s="33"/>
      <c r="G92" s="34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  <c r="AO92" s="38"/>
      <c r="AP92" s="35"/>
      <c r="AS92" s="35"/>
    </row>
    <row r="93" spans="1:50">
      <c r="A93" s="33"/>
      <c r="B93" s="33"/>
      <c r="C93" s="33"/>
      <c r="D93" s="33"/>
      <c r="E93" s="33"/>
      <c r="F93" s="33"/>
      <c r="G93" s="34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  <c r="AK93" s="33"/>
      <c r="AL93" s="33"/>
      <c r="AM93" s="33"/>
      <c r="AN93" s="33"/>
      <c r="AO93" s="38"/>
      <c r="AP93" s="35"/>
      <c r="AQ93" s="152"/>
      <c r="AR93" s="146"/>
      <c r="AS93" s="35"/>
    </row>
    <row r="94" spans="1:50">
      <c r="A94" s="33"/>
      <c r="B94" s="33"/>
      <c r="C94" s="33"/>
      <c r="D94" s="33"/>
      <c r="E94" s="33"/>
      <c r="F94" s="33"/>
      <c r="G94" s="34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H94" s="33"/>
      <c r="AI94" s="33"/>
      <c r="AJ94" s="33"/>
      <c r="AK94" s="33"/>
      <c r="AL94" s="33"/>
      <c r="AM94" s="33"/>
      <c r="AN94" s="33"/>
      <c r="AO94" s="38"/>
      <c r="AP94" s="35"/>
      <c r="AQ94" s="35"/>
      <c r="AR94" s="146"/>
      <c r="AS94" s="35"/>
    </row>
    <row r="95" spans="1:50">
      <c r="A95" s="33"/>
      <c r="B95" s="33"/>
      <c r="C95" s="33"/>
      <c r="D95" s="33"/>
      <c r="E95" s="33"/>
      <c r="F95" s="33"/>
      <c r="G95" s="34"/>
      <c r="H95" s="33"/>
      <c r="I95" s="33"/>
      <c r="J95" s="33"/>
      <c r="K95" s="33"/>
      <c r="L95" s="33"/>
      <c r="M95" s="33"/>
      <c r="N95" s="10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38"/>
      <c r="AP95" s="35"/>
      <c r="AQ95" s="38"/>
      <c r="AR95" s="146"/>
      <c r="AS95" s="35"/>
    </row>
    <row r="96" spans="1:50">
      <c r="A96" s="33"/>
      <c r="B96" s="33"/>
      <c r="C96" s="33"/>
      <c r="D96" s="33"/>
      <c r="E96" s="33"/>
      <c r="F96" s="33"/>
      <c r="G96" s="34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  <c r="AI96" s="33"/>
      <c r="AJ96" s="33"/>
      <c r="AK96" s="33"/>
      <c r="AL96" s="33"/>
      <c r="AM96" s="33"/>
      <c r="AN96" s="33"/>
      <c r="AO96" s="38"/>
      <c r="AP96" s="35"/>
      <c r="AQ96" s="152"/>
      <c r="AR96" s="146"/>
      <c r="AS96" s="35"/>
    </row>
    <row r="97" spans="1:45">
      <c r="A97" s="33"/>
      <c r="B97" s="33"/>
      <c r="C97" s="33"/>
      <c r="D97" s="33"/>
      <c r="E97" s="33"/>
      <c r="F97" s="33"/>
      <c r="G97" s="34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  <c r="AI97" s="33"/>
      <c r="AJ97" s="33"/>
      <c r="AK97" s="33"/>
      <c r="AL97" s="33"/>
      <c r="AM97" s="33"/>
      <c r="AN97" s="33"/>
      <c r="AO97" s="38"/>
      <c r="AP97" s="35"/>
      <c r="AQ97" s="152"/>
      <c r="AR97" s="146"/>
      <c r="AS97" s="35"/>
    </row>
    <row r="98" spans="1:45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  <c r="AO98" s="36"/>
      <c r="AP98" s="35"/>
      <c r="AQ98" s="36"/>
      <c r="AR98" s="35"/>
      <c r="AS98" s="33"/>
    </row>
    <row r="99" spans="1:45">
      <c r="A99" s="19"/>
      <c r="B99" s="33"/>
      <c r="C99" s="33"/>
      <c r="D99" s="33"/>
      <c r="E99" s="33"/>
      <c r="F99" s="39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H99" s="33"/>
      <c r="AI99" s="33"/>
      <c r="AJ99" s="33"/>
      <c r="AK99" s="33"/>
      <c r="AL99" s="33"/>
      <c r="AM99" s="33"/>
      <c r="AN99" s="33"/>
      <c r="AO99" s="34"/>
      <c r="AP99" s="33"/>
      <c r="AQ99" s="33"/>
      <c r="AR99" s="33"/>
      <c r="AS99" s="33"/>
    </row>
    <row r="100" spans="1:45">
      <c r="A100" s="33"/>
      <c r="B100" s="33"/>
      <c r="C100" s="33"/>
      <c r="D100" s="33"/>
      <c r="E100" s="33"/>
      <c r="F100" s="39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40"/>
      <c r="AP100" s="33"/>
      <c r="AQ100" s="41"/>
      <c r="AR100" s="33"/>
      <c r="AS100" s="33"/>
    </row>
    <row r="101" spans="1:45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  <c r="AO101" s="33"/>
      <c r="AP101" s="33"/>
      <c r="AQ101" s="30"/>
      <c r="AR101" s="33"/>
      <c r="AS101" s="33"/>
    </row>
    <row r="102" spans="1:45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  <c r="AO102" s="33"/>
      <c r="AP102" s="33"/>
      <c r="AQ102" s="33"/>
      <c r="AR102" s="33"/>
      <c r="AS102" s="33"/>
    </row>
    <row r="103" spans="1:45">
      <c r="AS103" s="33"/>
    </row>
    <row r="104" spans="1:45" ht="24.75" customHeight="1">
      <c r="AS104" s="33"/>
    </row>
    <row r="105" spans="1:45">
      <c r="AQ105" s="31"/>
      <c r="AS105" s="33"/>
    </row>
    <row r="106" spans="1:45">
      <c r="F106" s="28"/>
      <c r="AQ106" s="42"/>
      <c r="AR106" s="42"/>
      <c r="AS106" s="33"/>
    </row>
    <row r="107" spans="1:45">
      <c r="AQ107" s="28"/>
      <c r="AS107" s="33"/>
    </row>
    <row r="108" spans="1:45">
      <c r="AS108" s="33"/>
    </row>
    <row r="109" spans="1:45">
      <c r="AS109" s="33"/>
    </row>
    <row r="110" spans="1:45">
      <c r="F110" s="43"/>
      <c r="AS110" s="33"/>
    </row>
    <row r="111" spans="1:45">
      <c r="F111" s="44"/>
      <c r="AS111" s="33"/>
    </row>
    <row r="112" spans="1:45">
      <c r="E112" s="45"/>
      <c r="AS112" s="33"/>
    </row>
    <row r="113" spans="5:5">
      <c r="E113" s="46"/>
    </row>
    <row r="114" spans="5:5">
      <c r="E114" s="46"/>
    </row>
  </sheetData>
  <mergeCells count="48">
    <mergeCell ref="AI12:AK12"/>
    <mergeCell ref="AT11:AU13"/>
    <mergeCell ref="Z12:AB12"/>
    <mergeCell ref="AA13:AB13"/>
    <mergeCell ref="AM13:AN13"/>
    <mergeCell ref="AD13:AE13"/>
    <mergeCell ref="AG13:AH13"/>
    <mergeCell ref="AJ13:AK13"/>
    <mergeCell ref="W12:Y12"/>
    <mergeCell ref="X13:Y13"/>
    <mergeCell ref="AL12:AN12"/>
    <mergeCell ref="K11:AP11"/>
    <mergeCell ref="AQ11:AR13"/>
    <mergeCell ref="AO12:AP13"/>
    <mergeCell ref="L13:M13"/>
    <mergeCell ref="K12:M12"/>
    <mergeCell ref="N12:P12"/>
    <mergeCell ref="Q12:S12"/>
    <mergeCell ref="U13:V13"/>
    <mergeCell ref="R13:S13"/>
    <mergeCell ref="T12:V12"/>
    <mergeCell ref="O13:P13"/>
    <mergeCell ref="AC12:AE12"/>
    <mergeCell ref="AF12:AH12"/>
    <mergeCell ref="A83:D83"/>
    <mergeCell ref="J13:J14"/>
    <mergeCell ref="F13:F14"/>
    <mergeCell ref="G13:G14"/>
    <mergeCell ref="H13:H14"/>
    <mergeCell ref="I13:I14"/>
    <mergeCell ref="C13:D13"/>
    <mergeCell ref="E13:E14"/>
    <mergeCell ref="A12:A14"/>
    <mergeCell ref="B12:B14"/>
    <mergeCell ref="C12:F12"/>
    <mergeCell ref="G12:J12"/>
    <mergeCell ref="A1:AR1"/>
    <mergeCell ref="A2:AR2"/>
    <mergeCell ref="A3:B3"/>
    <mergeCell ref="C3:AR3"/>
    <mergeCell ref="A4:B4"/>
    <mergeCell ref="C4:AR4"/>
    <mergeCell ref="D5:AR5"/>
    <mergeCell ref="D6:AR6"/>
    <mergeCell ref="D7:AR7"/>
    <mergeCell ref="D8:AR8"/>
    <mergeCell ref="D10:AR10"/>
    <mergeCell ref="D9:AR9"/>
  </mergeCells>
  <conditionalFormatting sqref="AQ16:AR81">
    <cfRule type="dataBar" priority="139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{777A8B00-1C5C-44DD-A245-C6DAFD7E52B0}</x14:id>
        </ext>
      </extLst>
    </cfRule>
  </conditionalFormatting>
  <conditionalFormatting sqref="J16:J2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{622CFD50-1718-49A5-B69B-02563F3E4BC8}</x14:id>
        </ext>
      </extLst>
    </cfRule>
  </conditionalFormatting>
  <conditionalFormatting sqref="J23:J25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{801185F1-42D9-42A6-9478-6DB505638D95}</x14:id>
        </ext>
      </extLst>
    </cfRule>
  </conditionalFormatting>
  <conditionalFormatting sqref="J27:J40">
    <cfRule type="dataBar" priority="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{B2A5557B-FDF1-4B2D-9AED-4AD78CF0A569}</x14:id>
        </ext>
      </extLst>
    </cfRule>
  </conditionalFormatting>
  <conditionalFormatting sqref="J42:J55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{216FCE7D-AEBA-437D-ADBF-C6F686A1FD24}</x14:id>
        </ext>
      </extLst>
    </cfRule>
  </conditionalFormatting>
  <conditionalFormatting sqref="J57:J68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{7C737AD0-92E3-489B-9370-BD80B9CB55AE}</x14:id>
        </ext>
      </extLst>
    </cfRule>
  </conditionalFormatting>
  <conditionalFormatting sqref="J70:J74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{5845CB57-36A5-44DC-BDF6-FA42F8B829AB}</x14:id>
        </ext>
      </extLst>
    </cfRule>
  </conditionalFormatting>
  <conditionalFormatting sqref="J76:J81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{0B102D73-2C14-4B04-9F28-0A3B10A0B703}</x14:id>
        </ext>
      </extLst>
    </cfRule>
  </conditionalFormatting>
  <conditionalFormatting sqref="AU16:AU81">
    <cfRule type="dataBar" priority="131">
      <dataBar>
        <cfvo type="num" val="0"/>
        <cfvo type="num" val="1"/>
        <color rgb="FFC00000"/>
      </dataBar>
      <extLst>
        <ext xmlns:x14="http://schemas.microsoft.com/office/spreadsheetml/2009/9/main" uri="{B025F937-C7B1-47D3-B67F-A62EFF666E3E}">
          <x14:id>{F7AC7D31-C184-4935-82FD-9094DEA3C892}</x14:id>
        </ext>
      </extLst>
    </cfRule>
  </conditionalFormatting>
  <conditionalFormatting sqref="AB27:AB40">
    <cfRule type="dataBar" priority="123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{6B466F2A-E1D1-45B0-812C-4248109A22E3}</x14:id>
        </ext>
      </extLst>
    </cfRule>
  </conditionalFormatting>
  <conditionalFormatting sqref="AB16:AB21">
    <cfRule type="dataBar" priority="129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{E43F0FD8-02C7-42C5-840F-56375F0469A3}</x14:id>
        </ext>
      </extLst>
    </cfRule>
  </conditionalFormatting>
  <conditionalFormatting sqref="AB42:AB55">
    <cfRule type="dataBar" priority="128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{4EF1F5AF-9033-4C49-BE67-39A4E81ACC4E}</x14:id>
        </ext>
      </extLst>
    </cfRule>
  </conditionalFormatting>
  <conditionalFormatting sqref="AB57:AB68">
    <cfRule type="dataBar" priority="127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{3572DEE2-591D-408C-9B8A-A02A76FA3910}</x14:id>
        </ext>
      </extLst>
    </cfRule>
  </conditionalFormatting>
  <conditionalFormatting sqref="AB70:AB74">
    <cfRule type="dataBar" priority="126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{CD3F4CC7-3E79-4A71-A5CE-18A1FC4EC839}</x14:id>
        </ext>
      </extLst>
    </cfRule>
  </conditionalFormatting>
  <conditionalFormatting sqref="AB76:AB81">
    <cfRule type="dataBar" priority="125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{60C9497F-4D2C-4BEB-BD83-031A1CAD1B7C}</x14:id>
        </ext>
      </extLst>
    </cfRule>
  </conditionalFormatting>
  <conditionalFormatting sqref="AB23:AB25">
    <cfRule type="dataBar" priority="124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{18C6CB0B-D29A-4E6E-A681-D386325D5A4C}</x14:id>
        </ext>
      </extLst>
    </cfRule>
  </conditionalFormatting>
  <conditionalFormatting sqref="O87:P87">
    <cfRule type="dataBar" priority="114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{C3CF8EFE-4B41-403C-AD45-F0E55795D633}</x14:id>
        </ext>
      </extLst>
    </cfRule>
  </conditionalFormatting>
  <conditionalFormatting sqref="V23:V25">
    <cfRule type="dataBar" priority="70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{E3E4F426-64B7-4617-9268-0FC1A8D5346C}</x14:id>
        </ext>
      </extLst>
    </cfRule>
  </conditionalFormatting>
  <conditionalFormatting sqref="R87:S87 AA87 X87:Y87 U87:V87">
    <cfRule type="dataBar" priority="113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{D9FAEDA0-4C85-4567-8640-53C3E0A462C3}</x14:id>
        </ext>
      </extLst>
    </cfRule>
  </conditionalFormatting>
  <conditionalFormatting sqref="AQ87:AR87">
    <cfRule type="dataBar" priority="112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{3CA98486-D688-4226-AF20-80D53B5EC9C0}</x14:id>
        </ext>
      </extLst>
    </cfRule>
  </conditionalFormatting>
  <conditionalFormatting sqref="N87">
    <cfRule type="dataBar" priority="110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{9894B8BE-AD01-4372-9E77-59110D16EE13}</x14:id>
        </ext>
      </extLst>
    </cfRule>
  </conditionalFormatting>
  <conditionalFormatting sqref="Z87">
    <cfRule type="dataBar" priority="106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{A1A7BC84-6AA8-4C05-9121-5E005ABD0B43}</x14:id>
        </ext>
      </extLst>
    </cfRule>
  </conditionalFormatting>
  <conditionalFormatting sqref="L87:M87">
    <cfRule type="dataBar" priority="116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{882D6B7C-184B-40F1-89D9-F122ECB0BEB5}</x14:id>
        </ext>
      </extLst>
    </cfRule>
  </conditionalFormatting>
  <conditionalFormatting sqref="W87">
    <cfRule type="dataBar" priority="107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{B17E5A95-B5FC-4ED1-AAA7-553B402C2364}</x14:id>
        </ext>
      </extLst>
    </cfRule>
  </conditionalFormatting>
  <conditionalFormatting sqref="Y27:Y40">
    <cfRule type="dataBar" priority="97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{A09E5B5B-7C6F-45D6-8F93-E5EFA6E33226}</x14:id>
        </ext>
      </extLst>
    </cfRule>
  </conditionalFormatting>
  <conditionalFormatting sqref="Q89">
    <cfRule type="dataBar" priority="61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{E5D7A43B-BD4B-446C-B00D-9DF46FF62E08}</x14:id>
        </ext>
      </extLst>
    </cfRule>
  </conditionalFormatting>
  <conditionalFormatting sqref="U89">
    <cfRule type="dataBar" priority="60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{2546FDDE-0BEE-4C2C-AF7E-50CBBB63D13A}</x14:id>
        </ext>
      </extLst>
    </cfRule>
  </conditionalFormatting>
  <conditionalFormatting sqref="Y16:Y21">
    <cfRule type="dataBar" priority="103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{BEB9B73A-6F70-4D47-A98E-77627C0FB67E}</x14:id>
        </ext>
      </extLst>
    </cfRule>
  </conditionalFormatting>
  <conditionalFormatting sqref="AL89">
    <cfRule type="dataBar" priority="53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{B95B89E7-67A2-4340-9955-DC9A4F39460F}</x14:id>
        </ext>
      </extLst>
    </cfRule>
  </conditionalFormatting>
  <conditionalFormatting sqref="K87">
    <cfRule type="dataBar" priority="111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{7F460F4A-AD94-4208-9440-B74C9BE69C33}</x14:id>
        </ext>
      </extLst>
    </cfRule>
  </conditionalFormatting>
  <conditionalFormatting sqref="Y57:Y68">
    <cfRule type="dataBar" priority="101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{B8AB3680-C2C8-48E7-94C0-F2D4BCED0D40}</x14:id>
        </ext>
      </extLst>
    </cfRule>
  </conditionalFormatting>
  <conditionalFormatting sqref="Q87">
    <cfRule type="dataBar" priority="109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{9C1F8A0C-5F14-43DD-851F-0FDC8EABBDC4}</x14:id>
        </ext>
      </extLst>
    </cfRule>
  </conditionalFormatting>
  <conditionalFormatting sqref="T87">
    <cfRule type="dataBar" priority="108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{7319F890-A1FB-4F6A-B161-14F6AC1AA3D8}</x14:id>
        </ext>
      </extLst>
    </cfRule>
  </conditionalFormatting>
  <conditionalFormatting sqref="Y23:Y25">
    <cfRule type="dataBar" priority="98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{2718E95D-CA55-4956-909F-62569D1AB2DD}</x14:id>
        </ext>
      </extLst>
    </cfRule>
  </conditionalFormatting>
  <conditionalFormatting sqref="T89">
    <cfRule type="dataBar" priority="59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{5692ECAB-6FA2-4AB3-B794-881E602BE929}</x14:id>
        </ext>
      </extLst>
    </cfRule>
  </conditionalFormatting>
  <conditionalFormatting sqref="Y42:Y55">
    <cfRule type="dataBar" priority="102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{EB265FC8-AE7C-4959-A8F2-5FE09EB56096}</x14:id>
        </ext>
      </extLst>
    </cfRule>
  </conditionalFormatting>
  <conditionalFormatting sqref="W89">
    <cfRule type="dataBar" priority="57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{6AB4AFE8-3855-4365-9618-4F501E2530C5}</x14:id>
        </ext>
      </extLst>
    </cfRule>
  </conditionalFormatting>
  <conditionalFormatting sqref="Y70:Y74">
    <cfRule type="dataBar" priority="100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{B4DF1B35-C81D-4CBA-A8D7-152A4CE51875}</x14:id>
        </ext>
      </extLst>
    </cfRule>
  </conditionalFormatting>
  <conditionalFormatting sqref="Y76:Y81">
    <cfRule type="dataBar" priority="99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{FA4D8B2E-D264-4D92-B92D-E23741132096}</x14:id>
        </ext>
      </extLst>
    </cfRule>
  </conditionalFormatting>
  <conditionalFormatting sqref="AM89">
    <cfRule type="dataBar" priority="54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{94CC7752-62ED-45BF-8812-2FF7EC3D3BE0}</x14:id>
        </ext>
      </extLst>
    </cfRule>
  </conditionalFormatting>
  <conditionalFormatting sqref="M27:M40">
    <cfRule type="dataBar" priority="90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{283DA641-693B-426A-8208-F7D52971FC5E}</x14:id>
        </ext>
      </extLst>
    </cfRule>
  </conditionalFormatting>
  <conditionalFormatting sqref="M16:M21">
    <cfRule type="dataBar" priority="96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{8AA4DC8C-9BDD-49B7-925C-B45CFF1072D1}</x14:id>
        </ext>
      </extLst>
    </cfRule>
  </conditionalFormatting>
  <conditionalFormatting sqref="M42:M55">
    <cfRule type="dataBar" priority="95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{A346169D-0F32-46D8-B35A-D43E1D0D8156}</x14:id>
        </ext>
      </extLst>
    </cfRule>
  </conditionalFormatting>
  <conditionalFormatting sqref="M57:M68">
    <cfRule type="dataBar" priority="94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{E29D9032-FCCC-4DB8-BA79-FD0B50EDAA62}</x14:id>
        </ext>
      </extLst>
    </cfRule>
  </conditionalFormatting>
  <conditionalFormatting sqref="M70:M74">
    <cfRule type="dataBar" priority="93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{C00180EA-18C5-4A42-A438-1D9E7A7DE92B}</x14:id>
        </ext>
      </extLst>
    </cfRule>
  </conditionalFormatting>
  <conditionalFormatting sqref="M76:M81">
    <cfRule type="dataBar" priority="92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{1F00D4B8-3FC8-4C2B-8C30-43E1026508F0}</x14:id>
        </ext>
      </extLst>
    </cfRule>
  </conditionalFormatting>
  <conditionalFormatting sqref="M23:M25">
    <cfRule type="dataBar" priority="91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{0128E876-5E0D-4116-B198-6996457CAD79}</x14:id>
        </ext>
      </extLst>
    </cfRule>
  </conditionalFormatting>
  <conditionalFormatting sqref="P27:P40">
    <cfRule type="dataBar" priority="83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{8A63D504-E4D0-4B71-A7B3-5B7C985247D1}</x14:id>
        </ext>
      </extLst>
    </cfRule>
  </conditionalFormatting>
  <conditionalFormatting sqref="P16:P21">
    <cfRule type="dataBar" priority="89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{09E7844A-B962-45E1-AED0-EA7343ACF66A}</x14:id>
        </ext>
      </extLst>
    </cfRule>
  </conditionalFormatting>
  <conditionalFormatting sqref="P42:P55">
    <cfRule type="dataBar" priority="88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{5B020A25-DF64-4A82-A964-5D2CC2F52098}</x14:id>
        </ext>
      </extLst>
    </cfRule>
  </conditionalFormatting>
  <conditionalFormatting sqref="P57:P68">
    <cfRule type="dataBar" priority="87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{3FC1BECD-C823-45F4-A70C-BB16E6BAB9A6}</x14:id>
        </ext>
      </extLst>
    </cfRule>
  </conditionalFormatting>
  <conditionalFormatting sqref="P70:P74">
    <cfRule type="dataBar" priority="86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{959125C3-373C-4954-8297-842DC9D194D2}</x14:id>
        </ext>
      </extLst>
    </cfRule>
  </conditionalFormatting>
  <conditionalFormatting sqref="P76:P81">
    <cfRule type="dataBar" priority="85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{C2555A29-FEC7-4023-8243-96613F143AF3}</x14:id>
        </ext>
      </extLst>
    </cfRule>
  </conditionalFormatting>
  <conditionalFormatting sqref="P23:P25">
    <cfRule type="dataBar" priority="84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{B6DECA29-CAEB-4693-A392-150FE145034F}</x14:id>
        </ext>
      </extLst>
    </cfRule>
  </conditionalFormatting>
  <conditionalFormatting sqref="S27:S40">
    <cfRule type="dataBar" priority="76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{EE0A8D06-0332-4890-90DF-6E6D3844A739}</x14:id>
        </ext>
      </extLst>
    </cfRule>
  </conditionalFormatting>
  <conditionalFormatting sqref="S16:S21">
    <cfRule type="dataBar" priority="82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{BB6F9631-A463-4DC8-8498-19F73C90A41B}</x14:id>
        </ext>
      </extLst>
    </cfRule>
  </conditionalFormatting>
  <conditionalFormatting sqref="S42:S55">
    <cfRule type="dataBar" priority="81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{8F84C1FD-6A6E-45A2-B169-11053AE78056}</x14:id>
        </ext>
      </extLst>
    </cfRule>
  </conditionalFormatting>
  <conditionalFormatting sqref="S57:S68">
    <cfRule type="dataBar" priority="80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{F7258360-029E-47B6-81BA-C0808A8A1885}</x14:id>
        </ext>
      </extLst>
    </cfRule>
  </conditionalFormatting>
  <conditionalFormatting sqref="S70:S74">
    <cfRule type="dataBar" priority="79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{0F970316-FDF7-4406-8007-BD2C68EB33DD}</x14:id>
        </ext>
      </extLst>
    </cfRule>
  </conditionalFormatting>
  <conditionalFormatting sqref="S76:S81">
    <cfRule type="dataBar" priority="78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{2C4C9D8B-5C0B-4A2F-8915-2B8F93127A93}</x14:id>
        </ext>
      </extLst>
    </cfRule>
  </conditionalFormatting>
  <conditionalFormatting sqref="S23:S25">
    <cfRule type="dataBar" priority="77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{B3D46098-A2FC-4BA5-931D-E2252116F785}</x14:id>
        </ext>
      </extLst>
    </cfRule>
  </conditionalFormatting>
  <conditionalFormatting sqref="V27:V40">
    <cfRule type="dataBar" priority="69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{DCA5CADD-D6F5-448F-88DF-611BE7FF3D3C}</x14:id>
        </ext>
      </extLst>
    </cfRule>
  </conditionalFormatting>
  <conditionalFormatting sqref="V16:V21">
    <cfRule type="dataBar" priority="75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{61D7BE79-0C03-46C5-85BD-003AE21D5165}</x14:id>
        </ext>
      </extLst>
    </cfRule>
  </conditionalFormatting>
  <conditionalFormatting sqref="V42:V55">
    <cfRule type="dataBar" priority="74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{31ABBC39-443B-43EC-9F64-98B4FBD49195}</x14:id>
        </ext>
      </extLst>
    </cfRule>
  </conditionalFormatting>
  <conditionalFormatting sqref="V57:V68">
    <cfRule type="dataBar" priority="73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{64B96F15-91F9-4297-9E6C-524460C7600A}</x14:id>
        </ext>
      </extLst>
    </cfRule>
  </conditionalFormatting>
  <conditionalFormatting sqref="V70:V74">
    <cfRule type="dataBar" priority="72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{F9C3998C-A31E-4790-AF81-38911D34F476}</x14:id>
        </ext>
      </extLst>
    </cfRule>
  </conditionalFormatting>
  <conditionalFormatting sqref="V76:V81">
    <cfRule type="dataBar" priority="71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{38E98974-1F48-4B15-A3E4-1A27D98703DC}</x14:id>
        </ext>
      </extLst>
    </cfRule>
  </conditionalFormatting>
  <conditionalFormatting sqref="AM87">
    <cfRule type="dataBar" priority="68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{2E2C7614-509C-42E7-8249-7B72CD4E0675}</x14:id>
        </ext>
      </extLst>
    </cfRule>
  </conditionalFormatting>
  <conditionalFormatting sqref="AL87">
    <cfRule type="dataBar" priority="67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{F2AAFB2D-AF63-4D15-91C1-EBCBF519D388}</x14:id>
        </ext>
      </extLst>
    </cfRule>
  </conditionalFormatting>
  <conditionalFormatting sqref="L89">
    <cfRule type="dataBar" priority="66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{0CF68328-61D1-4285-BE0D-9BDF0FBFA321}</x14:id>
        </ext>
      </extLst>
    </cfRule>
  </conditionalFormatting>
  <conditionalFormatting sqref="K89">
    <cfRule type="dataBar" priority="65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{3BC8ABCD-E418-4393-8860-A09D193ABC89}</x14:id>
        </ext>
      </extLst>
    </cfRule>
  </conditionalFormatting>
  <conditionalFormatting sqref="O89">
    <cfRule type="dataBar" priority="64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{D956F3A0-F0C8-4754-A097-99B991CFC75E}</x14:id>
        </ext>
      </extLst>
    </cfRule>
  </conditionalFormatting>
  <conditionalFormatting sqref="N89">
    <cfRule type="dataBar" priority="63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{DB205486-E4A5-49AA-A42C-C24B5092CCBC}</x14:id>
        </ext>
      </extLst>
    </cfRule>
  </conditionalFormatting>
  <conditionalFormatting sqref="R89">
    <cfRule type="dataBar" priority="62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{82EEBA0B-5888-412E-9753-E1C61900FBB4}</x14:id>
        </ext>
      </extLst>
    </cfRule>
  </conditionalFormatting>
  <conditionalFormatting sqref="X89">
    <cfRule type="dataBar" priority="58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{FC494B7E-45D4-4277-8E69-4BC476082EF2}</x14:id>
        </ext>
      </extLst>
    </cfRule>
  </conditionalFormatting>
  <conditionalFormatting sqref="AA89">
    <cfRule type="dataBar" priority="56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{09052A36-E206-4872-8032-EACFC8922237}</x14:id>
        </ext>
      </extLst>
    </cfRule>
  </conditionalFormatting>
  <conditionalFormatting sqref="Z89">
    <cfRule type="dataBar" priority="55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{C9EFCDF7-34D4-432D-B437-51F5AC250A5E}</x14:id>
        </ext>
      </extLst>
    </cfRule>
  </conditionalFormatting>
  <conditionalFormatting sqref="AD87">
    <cfRule type="dataBar" priority="44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{00FCEC4E-BC9C-4A79-896C-7B40C2798ABE}</x14:id>
        </ext>
      </extLst>
    </cfRule>
  </conditionalFormatting>
  <conditionalFormatting sqref="AC87">
    <cfRule type="dataBar" priority="43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{7455CB99-6864-4159-A25E-B0BCA1BCD65E}</x14:id>
        </ext>
      </extLst>
    </cfRule>
  </conditionalFormatting>
  <conditionalFormatting sqref="AD89">
    <cfRule type="dataBar" priority="42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{B5916742-FA70-43DE-933D-3303AF254947}</x14:id>
        </ext>
      </extLst>
    </cfRule>
  </conditionalFormatting>
  <conditionalFormatting sqref="AC89">
    <cfRule type="dataBar" priority="41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{6F6CF9FE-27DC-480D-8B64-BBE2FE269FAA}</x14:id>
        </ext>
      </extLst>
    </cfRule>
  </conditionalFormatting>
  <conditionalFormatting sqref="AG87">
    <cfRule type="dataBar" priority="40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{B2EF096B-6D34-4EF2-A417-514D23629EC8}</x14:id>
        </ext>
      </extLst>
    </cfRule>
  </conditionalFormatting>
  <conditionalFormatting sqref="AF87">
    <cfRule type="dataBar" priority="39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{C676AC7C-2F1E-40D8-8DFB-7C9F3F5B17E0}</x14:id>
        </ext>
      </extLst>
    </cfRule>
  </conditionalFormatting>
  <conditionalFormatting sqref="AG89">
    <cfRule type="dataBar" priority="38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{CB741BC3-C7AF-43A3-A533-B16884C586A6}</x14:id>
        </ext>
      </extLst>
    </cfRule>
  </conditionalFormatting>
  <conditionalFormatting sqref="AF89">
    <cfRule type="dataBar" priority="37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{A864F216-2664-4CFB-85A8-D4996764ED4E}</x14:id>
        </ext>
      </extLst>
    </cfRule>
  </conditionalFormatting>
  <conditionalFormatting sqref="AJ87">
    <cfRule type="dataBar" priority="36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{5AA3BD6A-9E01-4819-96AC-A18213FB3ACE}</x14:id>
        </ext>
      </extLst>
    </cfRule>
  </conditionalFormatting>
  <conditionalFormatting sqref="AI87">
    <cfRule type="dataBar" priority="35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{F0A9D046-F80E-41EC-96EF-A0DB3F3AE327}</x14:id>
        </ext>
      </extLst>
    </cfRule>
  </conditionalFormatting>
  <conditionalFormatting sqref="AJ89">
    <cfRule type="dataBar" priority="34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{E4CA2A9F-7860-4D01-93D4-61A338B24C22}</x14:id>
        </ext>
      </extLst>
    </cfRule>
  </conditionalFormatting>
  <conditionalFormatting sqref="AI89">
    <cfRule type="dataBar" priority="33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{552418FA-6D30-4C40-8EC6-33638E162687}</x14:id>
        </ext>
      </extLst>
    </cfRule>
  </conditionalFormatting>
  <conditionalFormatting sqref="AE27:AE40">
    <cfRule type="dataBar" priority="26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{F16CFB65-F32C-4E7A-9BCA-FDEC78BBFBEA}</x14:id>
        </ext>
      </extLst>
    </cfRule>
  </conditionalFormatting>
  <conditionalFormatting sqref="AE16:AE21">
    <cfRule type="dataBar" priority="32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{DDBEF0FC-ECD7-4157-90A8-3575ACC37B24}</x14:id>
        </ext>
      </extLst>
    </cfRule>
  </conditionalFormatting>
  <conditionalFormatting sqref="AE42:AE55">
    <cfRule type="dataBar" priority="31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{971F31A7-8AC7-487F-93BF-7601D1F2D72E}</x14:id>
        </ext>
      </extLst>
    </cfRule>
  </conditionalFormatting>
  <conditionalFormatting sqref="AE57:AE68">
    <cfRule type="dataBar" priority="30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{D2E755D7-2BF5-4DDB-965A-3FFD3D03ED87}</x14:id>
        </ext>
      </extLst>
    </cfRule>
  </conditionalFormatting>
  <conditionalFormatting sqref="AE70:AE74">
    <cfRule type="dataBar" priority="29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{8F5C6289-94E6-444A-80CC-F065A1484C5B}</x14:id>
        </ext>
      </extLst>
    </cfRule>
  </conditionalFormatting>
  <conditionalFormatting sqref="AE76:AE81">
    <cfRule type="dataBar" priority="28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{2727AC38-3613-437D-B76B-E28C0F3CA287}</x14:id>
        </ext>
      </extLst>
    </cfRule>
  </conditionalFormatting>
  <conditionalFormatting sqref="AE23:AE25">
    <cfRule type="dataBar" priority="27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{B4F9842F-F084-43B0-94CE-ABD09310EB33}</x14:id>
        </ext>
      </extLst>
    </cfRule>
  </conditionalFormatting>
  <conditionalFormatting sqref="AH27:AH40">
    <cfRule type="dataBar" priority="18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{D6CAE3C6-6FD4-4DB8-8830-5D56DC4964D6}</x14:id>
        </ext>
      </extLst>
    </cfRule>
  </conditionalFormatting>
  <conditionalFormatting sqref="AH16:AH21">
    <cfRule type="dataBar" priority="24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{7F315A12-186E-4549-8F2F-950A321D0DEF}</x14:id>
        </ext>
      </extLst>
    </cfRule>
  </conditionalFormatting>
  <conditionalFormatting sqref="AH42:AH55">
    <cfRule type="dataBar" priority="23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{304B568B-3CD4-4BD3-965E-F5FB734F2F6B}</x14:id>
        </ext>
      </extLst>
    </cfRule>
  </conditionalFormatting>
  <conditionalFormatting sqref="AH57:AH68">
    <cfRule type="dataBar" priority="22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{19C99BE3-90FB-4B98-8BE9-CB69A77D25B4}</x14:id>
        </ext>
      </extLst>
    </cfRule>
  </conditionalFormatting>
  <conditionalFormatting sqref="AH70:AH74">
    <cfRule type="dataBar" priority="21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{3D93547C-C9E5-494A-BAF0-D9D97280C9AD}</x14:id>
        </ext>
      </extLst>
    </cfRule>
  </conditionalFormatting>
  <conditionalFormatting sqref="AH76:AH81">
    <cfRule type="dataBar" priority="20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{96D0AF67-6228-433A-8B4D-66F24670796A}</x14:id>
        </ext>
      </extLst>
    </cfRule>
  </conditionalFormatting>
  <conditionalFormatting sqref="AH23:AH25">
    <cfRule type="dataBar" priority="19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{973FBAB2-DCDA-49CD-A963-A2677CABFE4C}</x14:id>
        </ext>
      </extLst>
    </cfRule>
  </conditionalFormatting>
  <conditionalFormatting sqref="AK27:AK40">
    <cfRule type="dataBar" priority="10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{5D000193-352A-43CC-B923-DE1A14756651}</x14:id>
        </ext>
      </extLst>
    </cfRule>
  </conditionalFormatting>
  <conditionalFormatting sqref="AK16:AK21">
    <cfRule type="dataBar" priority="16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{CB8D3532-6E61-4AA8-98D1-C00A279183E6}</x14:id>
        </ext>
      </extLst>
    </cfRule>
  </conditionalFormatting>
  <conditionalFormatting sqref="AK42:AK55">
    <cfRule type="dataBar" priority="15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{00863276-5C65-4AB5-B4C0-3233324F6679}</x14:id>
        </ext>
      </extLst>
    </cfRule>
  </conditionalFormatting>
  <conditionalFormatting sqref="AK57:AK68">
    <cfRule type="dataBar" priority="14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{976639C6-164D-4A5C-970D-E8772DB82208}</x14:id>
        </ext>
      </extLst>
    </cfRule>
  </conditionalFormatting>
  <conditionalFormatting sqref="AK70:AK74">
    <cfRule type="dataBar" priority="13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{8E02471C-D6F0-4B67-871B-8D201DF62E1C}</x14:id>
        </ext>
      </extLst>
    </cfRule>
  </conditionalFormatting>
  <conditionalFormatting sqref="AK76:AK81">
    <cfRule type="dataBar" priority="12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{0CEAEEB5-1579-4B67-9993-C0E1A0C82592}</x14:id>
        </ext>
      </extLst>
    </cfRule>
  </conditionalFormatting>
  <conditionalFormatting sqref="AK23:AK25">
    <cfRule type="dataBar" priority="11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{8D0DF1ED-E6DE-46BF-95AC-E946D2D30A21}</x14:id>
        </ext>
      </extLst>
    </cfRule>
  </conditionalFormatting>
  <conditionalFormatting sqref="AN27:AN40">
    <cfRule type="dataBar" priority="2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{16C2F7B9-199A-49CF-A670-2C7339E83ECA}</x14:id>
        </ext>
      </extLst>
    </cfRule>
  </conditionalFormatting>
  <conditionalFormatting sqref="AN16:AN21">
    <cfRule type="dataBar" priority="8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{27E19EA6-D89A-4928-8A16-BC1C829AD09B}</x14:id>
        </ext>
      </extLst>
    </cfRule>
  </conditionalFormatting>
  <conditionalFormatting sqref="AN42:AN55">
    <cfRule type="dataBar" priority="7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{68598C58-671E-47DE-A89E-5C34B48FD9C6}</x14:id>
        </ext>
      </extLst>
    </cfRule>
  </conditionalFormatting>
  <conditionalFormatting sqref="AN57:AN68">
    <cfRule type="dataBar" priority="6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{A2583FFC-4852-4D46-AE21-3D7C3615FAE9}</x14:id>
        </ext>
      </extLst>
    </cfRule>
  </conditionalFormatting>
  <conditionalFormatting sqref="AN70:AN74">
    <cfRule type="dataBar" priority="5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{D2ED5CEE-A641-4D94-9E2E-7E9ED5D888D8}</x14:id>
        </ext>
      </extLst>
    </cfRule>
  </conditionalFormatting>
  <conditionalFormatting sqref="AN76:AN81">
    <cfRule type="dataBar" priority="4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{815215CD-0DDD-42B1-82BF-171E338AD217}</x14:id>
        </ext>
      </extLst>
    </cfRule>
  </conditionalFormatting>
  <conditionalFormatting sqref="AN23:AN25">
    <cfRule type="dataBar" priority="3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{80F0D5D4-BFB0-4D44-BA58-E7E27ABC6AF4}</x14:id>
        </ext>
      </extLst>
    </cfRule>
  </conditionalFormatting>
  <conditionalFormatting sqref="AP16:AP21 AP23:AP25 AP27:AP40 AP42:AP55 AP57:AP68 AP70:AP74 AP76:AP81">
    <cfRule type="expression" dxfId="20" priority="144">
      <formula>IF(AX16=1,1,0)</formula>
    </cfRule>
  </conditionalFormatting>
  <printOptions horizontalCentered="1"/>
  <pageMargins left="3.937007874015748E-2" right="0" top="0.43307086614173229" bottom="0.19685039370078741" header="0" footer="0"/>
  <pageSetup scale="23" fitToHeight="0" orientation="landscape" horizontalDpi="4294967293" r:id="rId1"/>
  <headerFooter scaleWithDoc="0" alignWithMargins="0"/>
  <ignoredErrors>
    <ignoredError sqref="L22 L69 O22 O69 I16:I81 I83 J58:J67 L26 F83 L41 L56 L75 L77 L57:L68 L42:L55 L27:L40 L16:L21 L23:L25 O16:O21 O26 O41 O56 O75 O77 O57:O68 O42:O43 O27:O40 O23:O25 U16:U81 X16:X81 AM23:AM25 AJ23:AJ25 AG23:AG25 AD23:AD25 AA23:AA25 R77 R57:R68 R16:R56 R69:R76 R78:R81" unlockedFormula="1"/>
  </ignoredError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77A8B00-1C5C-44DD-A245-C6DAFD7E52B0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AQ16:AR81</xm:sqref>
        </x14:conditionalFormatting>
        <x14:conditionalFormatting xmlns:xm="http://schemas.microsoft.com/office/excel/2006/main">
          <x14:cfRule type="dataBar" id="{622CFD50-1718-49A5-B69B-02563F3E4B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J16:J21</xm:sqref>
        </x14:conditionalFormatting>
        <x14:conditionalFormatting xmlns:xm="http://schemas.microsoft.com/office/excel/2006/main">
          <x14:cfRule type="dataBar" id="{801185F1-42D9-42A6-9478-6DB505638D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J23:J25</xm:sqref>
        </x14:conditionalFormatting>
        <x14:conditionalFormatting xmlns:xm="http://schemas.microsoft.com/office/excel/2006/main">
          <x14:cfRule type="dataBar" id="{B2A5557B-FDF1-4B2D-9AED-4AD78CF0A5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J27:J40</xm:sqref>
        </x14:conditionalFormatting>
        <x14:conditionalFormatting xmlns:xm="http://schemas.microsoft.com/office/excel/2006/main">
          <x14:cfRule type="dataBar" id="{216FCE7D-AEBA-437D-ADBF-C6F686A1FD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J42:J55</xm:sqref>
        </x14:conditionalFormatting>
        <x14:conditionalFormatting xmlns:xm="http://schemas.microsoft.com/office/excel/2006/main">
          <x14:cfRule type="dataBar" id="{7C737AD0-92E3-489B-9370-BD80B9CB55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J57:J68</xm:sqref>
        </x14:conditionalFormatting>
        <x14:conditionalFormatting xmlns:xm="http://schemas.microsoft.com/office/excel/2006/main">
          <x14:cfRule type="dataBar" id="{5845CB57-36A5-44DC-BDF6-FA42F8B829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J70:J74</xm:sqref>
        </x14:conditionalFormatting>
        <x14:conditionalFormatting xmlns:xm="http://schemas.microsoft.com/office/excel/2006/main">
          <x14:cfRule type="dataBar" id="{0B102D73-2C14-4B04-9F28-0A3B10A0B7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J76:J81</xm:sqref>
        </x14:conditionalFormatting>
        <x14:conditionalFormatting xmlns:xm="http://schemas.microsoft.com/office/excel/2006/main">
          <x14:cfRule type="dataBar" id="{F7AC7D31-C184-4935-82FD-9094DEA3C892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C00000"/>
              <x14:negativeFillColor rgb="FFFF0000"/>
              <x14:negativeBorderColor rgb="FFFF0000"/>
              <x14:axisColor rgb="FF000000"/>
            </x14:dataBar>
          </x14:cfRule>
          <xm:sqref>AU16:AU81</xm:sqref>
        </x14:conditionalFormatting>
        <x14:conditionalFormatting xmlns:xm="http://schemas.microsoft.com/office/excel/2006/main">
          <x14:cfRule type="dataBar" id="{6B466F2A-E1D1-45B0-812C-4248109A22E3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AB27:AB40</xm:sqref>
        </x14:conditionalFormatting>
        <x14:conditionalFormatting xmlns:xm="http://schemas.microsoft.com/office/excel/2006/main">
          <x14:cfRule type="dataBar" id="{E43F0FD8-02C7-42C5-840F-56375F0469A3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AB16:AB21</xm:sqref>
        </x14:conditionalFormatting>
        <x14:conditionalFormatting xmlns:xm="http://schemas.microsoft.com/office/excel/2006/main">
          <x14:cfRule type="dataBar" id="{4EF1F5AF-9033-4C49-BE67-39A4E81ACC4E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AB42:AB55</xm:sqref>
        </x14:conditionalFormatting>
        <x14:conditionalFormatting xmlns:xm="http://schemas.microsoft.com/office/excel/2006/main">
          <x14:cfRule type="dataBar" id="{3572DEE2-591D-408C-9B8A-A02A76FA3910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AB57:AB68</xm:sqref>
        </x14:conditionalFormatting>
        <x14:conditionalFormatting xmlns:xm="http://schemas.microsoft.com/office/excel/2006/main">
          <x14:cfRule type="dataBar" id="{CD3F4CC7-3E79-4A71-A5CE-18A1FC4EC839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AB70:AB74</xm:sqref>
        </x14:conditionalFormatting>
        <x14:conditionalFormatting xmlns:xm="http://schemas.microsoft.com/office/excel/2006/main">
          <x14:cfRule type="dataBar" id="{60C9497F-4D2C-4BEB-BD83-031A1CAD1B7C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AB76:AB81</xm:sqref>
        </x14:conditionalFormatting>
        <x14:conditionalFormatting xmlns:xm="http://schemas.microsoft.com/office/excel/2006/main">
          <x14:cfRule type="dataBar" id="{18C6CB0B-D29A-4E6E-A681-D386325D5A4C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AB23:AB25</xm:sqref>
        </x14:conditionalFormatting>
        <x14:conditionalFormatting xmlns:xm="http://schemas.microsoft.com/office/excel/2006/main">
          <x14:cfRule type="dataBar" id="{C3CF8EFE-4B41-403C-AD45-F0E55795D633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O87:P87</xm:sqref>
        </x14:conditionalFormatting>
        <x14:conditionalFormatting xmlns:xm="http://schemas.microsoft.com/office/excel/2006/main">
          <x14:cfRule type="dataBar" id="{E3E4F426-64B7-4617-9268-0FC1A8D5346C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V23:V25</xm:sqref>
        </x14:conditionalFormatting>
        <x14:conditionalFormatting xmlns:xm="http://schemas.microsoft.com/office/excel/2006/main">
          <x14:cfRule type="dataBar" id="{D9FAEDA0-4C85-4567-8640-53C3E0A462C3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R87:S87 AA87 X87:Y87 U87:V87</xm:sqref>
        </x14:conditionalFormatting>
        <x14:conditionalFormatting xmlns:xm="http://schemas.microsoft.com/office/excel/2006/main">
          <x14:cfRule type="dataBar" id="{3CA98486-D688-4226-AF20-80D53B5EC9C0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AQ87:AR87</xm:sqref>
        </x14:conditionalFormatting>
        <x14:conditionalFormatting xmlns:xm="http://schemas.microsoft.com/office/excel/2006/main">
          <x14:cfRule type="dataBar" id="{9894B8BE-AD01-4372-9E77-59110D16EE13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N87</xm:sqref>
        </x14:conditionalFormatting>
        <x14:conditionalFormatting xmlns:xm="http://schemas.microsoft.com/office/excel/2006/main">
          <x14:cfRule type="dataBar" id="{A1A7BC84-6AA8-4C05-9121-5E005ABD0B43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Z87</xm:sqref>
        </x14:conditionalFormatting>
        <x14:conditionalFormatting xmlns:xm="http://schemas.microsoft.com/office/excel/2006/main">
          <x14:cfRule type="dataBar" id="{882D6B7C-184B-40F1-89D9-F122ECB0BEB5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L87:M87</xm:sqref>
        </x14:conditionalFormatting>
        <x14:conditionalFormatting xmlns:xm="http://schemas.microsoft.com/office/excel/2006/main">
          <x14:cfRule type="dataBar" id="{B17E5A95-B5FC-4ED1-AAA7-553B402C2364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W87</xm:sqref>
        </x14:conditionalFormatting>
        <x14:conditionalFormatting xmlns:xm="http://schemas.microsoft.com/office/excel/2006/main">
          <x14:cfRule type="dataBar" id="{A09E5B5B-7C6F-45D6-8F93-E5EFA6E33226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Y27:Y40</xm:sqref>
        </x14:conditionalFormatting>
        <x14:conditionalFormatting xmlns:xm="http://schemas.microsoft.com/office/excel/2006/main">
          <x14:cfRule type="dataBar" id="{E5D7A43B-BD4B-446C-B00D-9DF46FF62E08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Q89</xm:sqref>
        </x14:conditionalFormatting>
        <x14:conditionalFormatting xmlns:xm="http://schemas.microsoft.com/office/excel/2006/main">
          <x14:cfRule type="dataBar" id="{2546FDDE-0BEE-4C2C-AF7E-50CBBB63D13A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U89</xm:sqref>
        </x14:conditionalFormatting>
        <x14:conditionalFormatting xmlns:xm="http://schemas.microsoft.com/office/excel/2006/main">
          <x14:cfRule type="dataBar" id="{BEB9B73A-6F70-4D47-A98E-77627C0FB67E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Y16:Y21</xm:sqref>
        </x14:conditionalFormatting>
        <x14:conditionalFormatting xmlns:xm="http://schemas.microsoft.com/office/excel/2006/main">
          <x14:cfRule type="dataBar" id="{B95B89E7-67A2-4340-9955-DC9A4F39460F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AL89</xm:sqref>
        </x14:conditionalFormatting>
        <x14:conditionalFormatting xmlns:xm="http://schemas.microsoft.com/office/excel/2006/main">
          <x14:cfRule type="dataBar" id="{7F460F4A-AD94-4208-9440-B74C9BE69C33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K87</xm:sqref>
        </x14:conditionalFormatting>
        <x14:conditionalFormatting xmlns:xm="http://schemas.microsoft.com/office/excel/2006/main">
          <x14:cfRule type="dataBar" id="{B8AB3680-C2C8-48E7-94C0-F2D4BCED0D40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Y57:Y68</xm:sqref>
        </x14:conditionalFormatting>
        <x14:conditionalFormatting xmlns:xm="http://schemas.microsoft.com/office/excel/2006/main">
          <x14:cfRule type="dataBar" id="{9C1F8A0C-5F14-43DD-851F-0FDC8EABBDC4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Q87</xm:sqref>
        </x14:conditionalFormatting>
        <x14:conditionalFormatting xmlns:xm="http://schemas.microsoft.com/office/excel/2006/main">
          <x14:cfRule type="dataBar" id="{7319F890-A1FB-4F6A-B161-14F6AC1AA3D8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T87</xm:sqref>
        </x14:conditionalFormatting>
        <x14:conditionalFormatting xmlns:xm="http://schemas.microsoft.com/office/excel/2006/main">
          <x14:cfRule type="dataBar" id="{2718E95D-CA55-4956-909F-62569D1AB2DD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Y23:Y25</xm:sqref>
        </x14:conditionalFormatting>
        <x14:conditionalFormatting xmlns:xm="http://schemas.microsoft.com/office/excel/2006/main">
          <x14:cfRule type="dataBar" id="{5692ECAB-6FA2-4AB3-B794-881E602BE929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T89</xm:sqref>
        </x14:conditionalFormatting>
        <x14:conditionalFormatting xmlns:xm="http://schemas.microsoft.com/office/excel/2006/main">
          <x14:cfRule type="dataBar" id="{EB265FC8-AE7C-4959-A8F2-5FE09EB56096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Y42:Y55</xm:sqref>
        </x14:conditionalFormatting>
        <x14:conditionalFormatting xmlns:xm="http://schemas.microsoft.com/office/excel/2006/main">
          <x14:cfRule type="dataBar" id="{6AB4AFE8-3855-4365-9618-4F501E2530C5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W89</xm:sqref>
        </x14:conditionalFormatting>
        <x14:conditionalFormatting xmlns:xm="http://schemas.microsoft.com/office/excel/2006/main">
          <x14:cfRule type="dataBar" id="{B4DF1B35-C81D-4CBA-A8D7-152A4CE51875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Y70:Y74</xm:sqref>
        </x14:conditionalFormatting>
        <x14:conditionalFormatting xmlns:xm="http://schemas.microsoft.com/office/excel/2006/main">
          <x14:cfRule type="dataBar" id="{FA4D8B2E-D264-4D92-B92D-E23741132096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Y76:Y81</xm:sqref>
        </x14:conditionalFormatting>
        <x14:conditionalFormatting xmlns:xm="http://schemas.microsoft.com/office/excel/2006/main">
          <x14:cfRule type="dataBar" id="{94CC7752-62ED-45BF-8812-2FF7EC3D3BE0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AM89</xm:sqref>
        </x14:conditionalFormatting>
        <x14:conditionalFormatting xmlns:xm="http://schemas.microsoft.com/office/excel/2006/main">
          <x14:cfRule type="dataBar" id="{283DA641-693B-426A-8208-F7D52971FC5E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M27:M40</xm:sqref>
        </x14:conditionalFormatting>
        <x14:conditionalFormatting xmlns:xm="http://schemas.microsoft.com/office/excel/2006/main">
          <x14:cfRule type="dataBar" id="{8AA4DC8C-9BDD-49B7-925C-B45CFF1072D1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M16:M21</xm:sqref>
        </x14:conditionalFormatting>
        <x14:conditionalFormatting xmlns:xm="http://schemas.microsoft.com/office/excel/2006/main">
          <x14:cfRule type="dataBar" id="{A346169D-0F32-46D8-B35A-D43E1D0D8156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M42:M55</xm:sqref>
        </x14:conditionalFormatting>
        <x14:conditionalFormatting xmlns:xm="http://schemas.microsoft.com/office/excel/2006/main">
          <x14:cfRule type="dataBar" id="{E29D9032-FCCC-4DB8-BA79-FD0B50EDAA62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M57:M68</xm:sqref>
        </x14:conditionalFormatting>
        <x14:conditionalFormatting xmlns:xm="http://schemas.microsoft.com/office/excel/2006/main">
          <x14:cfRule type="dataBar" id="{C00180EA-18C5-4A42-A438-1D9E7A7DE92B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M70:M74</xm:sqref>
        </x14:conditionalFormatting>
        <x14:conditionalFormatting xmlns:xm="http://schemas.microsoft.com/office/excel/2006/main">
          <x14:cfRule type="dataBar" id="{1F00D4B8-3FC8-4C2B-8C30-43E1026508F0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M76:M81</xm:sqref>
        </x14:conditionalFormatting>
        <x14:conditionalFormatting xmlns:xm="http://schemas.microsoft.com/office/excel/2006/main">
          <x14:cfRule type="dataBar" id="{0128E876-5E0D-4116-B198-6996457CAD79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M23:M25</xm:sqref>
        </x14:conditionalFormatting>
        <x14:conditionalFormatting xmlns:xm="http://schemas.microsoft.com/office/excel/2006/main">
          <x14:cfRule type="dataBar" id="{8A63D504-E4D0-4B71-A7B3-5B7C985247D1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P27:P40</xm:sqref>
        </x14:conditionalFormatting>
        <x14:conditionalFormatting xmlns:xm="http://schemas.microsoft.com/office/excel/2006/main">
          <x14:cfRule type="dataBar" id="{09E7844A-B962-45E1-AED0-EA7343ACF66A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P16:P21</xm:sqref>
        </x14:conditionalFormatting>
        <x14:conditionalFormatting xmlns:xm="http://schemas.microsoft.com/office/excel/2006/main">
          <x14:cfRule type="dataBar" id="{5B020A25-DF64-4A82-A964-5D2CC2F52098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P42:P55</xm:sqref>
        </x14:conditionalFormatting>
        <x14:conditionalFormatting xmlns:xm="http://schemas.microsoft.com/office/excel/2006/main">
          <x14:cfRule type="dataBar" id="{3FC1BECD-C823-45F4-A70C-BB16E6BAB9A6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P57:P68</xm:sqref>
        </x14:conditionalFormatting>
        <x14:conditionalFormatting xmlns:xm="http://schemas.microsoft.com/office/excel/2006/main">
          <x14:cfRule type="dataBar" id="{959125C3-373C-4954-8297-842DC9D194D2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P70:P74</xm:sqref>
        </x14:conditionalFormatting>
        <x14:conditionalFormatting xmlns:xm="http://schemas.microsoft.com/office/excel/2006/main">
          <x14:cfRule type="dataBar" id="{C2555A29-FEC7-4023-8243-96613F143AF3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P76:P81</xm:sqref>
        </x14:conditionalFormatting>
        <x14:conditionalFormatting xmlns:xm="http://schemas.microsoft.com/office/excel/2006/main">
          <x14:cfRule type="dataBar" id="{B6DECA29-CAEB-4693-A392-150FE145034F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P23:P25</xm:sqref>
        </x14:conditionalFormatting>
        <x14:conditionalFormatting xmlns:xm="http://schemas.microsoft.com/office/excel/2006/main">
          <x14:cfRule type="dataBar" id="{EE0A8D06-0332-4890-90DF-6E6D3844A739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S27:S40</xm:sqref>
        </x14:conditionalFormatting>
        <x14:conditionalFormatting xmlns:xm="http://schemas.microsoft.com/office/excel/2006/main">
          <x14:cfRule type="dataBar" id="{BB6F9631-A463-4DC8-8498-19F73C90A41B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S16:S21</xm:sqref>
        </x14:conditionalFormatting>
        <x14:conditionalFormatting xmlns:xm="http://schemas.microsoft.com/office/excel/2006/main">
          <x14:cfRule type="dataBar" id="{8F84C1FD-6A6E-45A2-B169-11053AE78056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S42:S55</xm:sqref>
        </x14:conditionalFormatting>
        <x14:conditionalFormatting xmlns:xm="http://schemas.microsoft.com/office/excel/2006/main">
          <x14:cfRule type="dataBar" id="{F7258360-029E-47B6-81BA-C0808A8A1885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S57:S68</xm:sqref>
        </x14:conditionalFormatting>
        <x14:conditionalFormatting xmlns:xm="http://schemas.microsoft.com/office/excel/2006/main">
          <x14:cfRule type="dataBar" id="{0F970316-FDF7-4406-8007-BD2C68EB33DD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S70:S74</xm:sqref>
        </x14:conditionalFormatting>
        <x14:conditionalFormatting xmlns:xm="http://schemas.microsoft.com/office/excel/2006/main">
          <x14:cfRule type="dataBar" id="{2C4C9D8B-5C0B-4A2F-8915-2B8F93127A93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S76:S81</xm:sqref>
        </x14:conditionalFormatting>
        <x14:conditionalFormatting xmlns:xm="http://schemas.microsoft.com/office/excel/2006/main">
          <x14:cfRule type="dataBar" id="{B3D46098-A2FC-4BA5-931D-E2252116F785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S23:S25</xm:sqref>
        </x14:conditionalFormatting>
        <x14:conditionalFormatting xmlns:xm="http://schemas.microsoft.com/office/excel/2006/main">
          <x14:cfRule type="dataBar" id="{DCA5CADD-D6F5-448F-88DF-611BE7FF3D3C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V27:V40</xm:sqref>
        </x14:conditionalFormatting>
        <x14:conditionalFormatting xmlns:xm="http://schemas.microsoft.com/office/excel/2006/main">
          <x14:cfRule type="dataBar" id="{61D7BE79-0C03-46C5-85BD-003AE21D5165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V16:V21</xm:sqref>
        </x14:conditionalFormatting>
        <x14:conditionalFormatting xmlns:xm="http://schemas.microsoft.com/office/excel/2006/main">
          <x14:cfRule type="dataBar" id="{31ABBC39-443B-43EC-9F64-98B4FBD49195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V42:V55</xm:sqref>
        </x14:conditionalFormatting>
        <x14:conditionalFormatting xmlns:xm="http://schemas.microsoft.com/office/excel/2006/main">
          <x14:cfRule type="dataBar" id="{64B96F15-91F9-4297-9E6C-524460C7600A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V57:V68</xm:sqref>
        </x14:conditionalFormatting>
        <x14:conditionalFormatting xmlns:xm="http://schemas.microsoft.com/office/excel/2006/main">
          <x14:cfRule type="dataBar" id="{F9C3998C-A31E-4790-AF81-38911D34F476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V70:V74</xm:sqref>
        </x14:conditionalFormatting>
        <x14:conditionalFormatting xmlns:xm="http://schemas.microsoft.com/office/excel/2006/main">
          <x14:cfRule type="dataBar" id="{38E98974-1F48-4B15-A3E4-1A27D98703DC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V76:V81</xm:sqref>
        </x14:conditionalFormatting>
        <x14:conditionalFormatting xmlns:xm="http://schemas.microsoft.com/office/excel/2006/main">
          <x14:cfRule type="dataBar" id="{2E2C7614-509C-42E7-8249-7B72CD4E0675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AM87</xm:sqref>
        </x14:conditionalFormatting>
        <x14:conditionalFormatting xmlns:xm="http://schemas.microsoft.com/office/excel/2006/main">
          <x14:cfRule type="dataBar" id="{F2AAFB2D-AF63-4D15-91C1-EBCBF519D388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AL87</xm:sqref>
        </x14:conditionalFormatting>
        <x14:conditionalFormatting xmlns:xm="http://schemas.microsoft.com/office/excel/2006/main">
          <x14:cfRule type="dataBar" id="{0CF68328-61D1-4285-BE0D-9BDF0FBFA321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L89</xm:sqref>
        </x14:conditionalFormatting>
        <x14:conditionalFormatting xmlns:xm="http://schemas.microsoft.com/office/excel/2006/main">
          <x14:cfRule type="dataBar" id="{3BC8ABCD-E418-4393-8860-A09D193ABC89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K89</xm:sqref>
        </x14:conditionalFormatting>
        <x14:conditionalFormatting xmlns:xm="http://schemas.microsoft.com/office/excel/2006/main">
          <x14:cfRule type="dataBar" id="{D956F3A0-F0C8-4754-A097-99B991CFC75E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O89</xm:sqref>
        </x14:conditionalFormatting>
        <x14:conditionalFormatting xmlns:xm="http://schemas.microsoft.com/office/excel/2006/main">
          <x14:cfRule type="dataBar" id="{DB205486-E4A5-49AA-A42C-C24B5092CCBC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N89</xm:sqref>
        </x14:conditionalFormatting>
        <x14:conditionalFormatting xmlns:xm="http://schemas.microsoft.com/office/excel/2006/main">
          <x14:cfRule type="dataBar" id="{82EEBA0B-5888-412E-9753-E1C61900FBB4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R89</xm:sqref>
        </x14:conditionalFormatting>
        <x14:conditionalFormatting xmlns:xm="http://schemas.microsoft.com/office/excel/2006/main">
          <x14:cfRule type="dataBar" id="{FC494B7E-45D4-4277-8E69-4BC476082EF2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X89</xm:sqref>
        </x14:conditionalFormatting>
        <x14:conditionalFormatting xmlns:xm="http://schemas.microsoft.com/office/excel/2006/main">
          <x14:cfRule type="dataBar" id="{09052A36-E206-4872-8032-EACFC8922237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AA89</xm:sqref>
        </x14:conditionalFormatting>
        <x14:conditionalFormatting xmlns:xm="http://schemas.microsoft.com/office/excel/2006/main">
          <x14:cfRule type="dataBar" id="{C9EFCDF7-34D4-432D-B437-51F5AC250A5E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Z89</xm:sqref>
        </x14:conditionalFormatting>
        <x14:conditionalFormatting xmlns:xm="http://schemas.microsoft.com/office/excel/2006/main">
          <x14:cfRule type="dataBar" id="{00FCEC4E-BC9C-4A79-896C-7B40C2798ABE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AD87</xm:sqref>
        </x14:conditionalFormatting>
        <x14:conditionalFormatting xmlns:xm="http://schemas.microsoft.com/office/excel/2006/main">
          <x14:cfRule type="dataBar" id="{7455CB99-6864-4159-A25E-B0BCA1BCD65E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AC87</xm:sqref>
        </x14:conditionalFormatting>
        <x14:conditionalFormatting xmlns:xm="http://schemas.microsoft.com/office/excel/2006/main">
          <x14:cfRule type="dataBar" id="{B5916742-FA70-43DE-933D-3303AF254947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AD89</xm:sqref>
        </x14:conditionalFormatting>
        <x14:conditionalFormatting xmlns:xm="http://schemas.microsoft.com/office/excel/2006/main">
          <x14:cfRule type="dataBar" id="{6F6CF9FE-27DC-480D-8B64-BBE2FE269FAA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AC89</xm:sqref>
        </x14:conditionalFormatting>
        <x14:conditionalFormatting xmlns:xm="http://schemas.microsoft.com/office/excel/2006/main">
          <x14:cfRule type="dataBar" id="{B2EF096B-6D34-4EF2-A417-514D23629EC8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AG87</xm:sqref>
        </x14:conditionalFormatting>
        <x14:conditionalFormatting xmlns:xm="http://schemas.microsoft.com/office/excel/2006/main">
          <x14:cfRule type="dataBar" id="{C676AC7C-2F1E-40D8-8DFB-7C9F3F5B17E0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AF87</xm:sqref>
        </x14:conditionalFormatting>
        <x14:conditionalFormatting xmlns:xm="http://schemas.microsoft.com/office/excel/2006/main">
          <x14:cfRule type="dataBar" id="{CB741BC3-C7AF-43A3-A533-B16884C586A6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AG89</xm:sqref>
        </x14:conditionalFormatting>
        <x14:conditionalFormatting xmlns:xm="http://schemas.microsoft.com/office/excel/2006/main">
          <x14:cfRule type="dataBar" id="{A864F216-2664-4CFB-85A8-D4996764ED4E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AF89</xm:sqref>
        </x14:conditionalFormatting>
        <x14:conditionalFormatting xmlns:xm="http://schemas.microsoft.com/office/excel/2006/main">
          <x14:cfRule type="dataBar" id="{5AA3BD6A-9E01-4819-96AC-A18213FB3ACE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AJ87</xm:sqref>
        </x14:conditionalFormatting>
        <x14:conditionalFormatting xmlns:xm="http://schemas.microsoft.com/office/excel/2006/main">
          <x14:cfRule type="dataBar" id="{F0A9D046-F80E-41EC-96EF-A0DB3F3AE327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AI87</xm:sqref>
        </x14:conditionalFormatting>
        <x14:conditionalFormatting xmlns:xm="http://schemas.microsoft.com/office/excel/2006/main">
          <x14:cfRule type="dataBar" id="{E4CA2A9F-7860-4D01-93D4-61A338B24C22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AJ89</xm:sqref>
        </x14:conditionalFormatting>
        <x14:conditionalFormatting xmlns:xm="http://schemas.microsoft.com/office/excel/2006/main">
          <x14:cfRule type="dataBar" id="{552418FA-6D30-4C40-8EC6-33638E162687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AI89</xm:sqref>
        </x14:conditionalFormatting>
        <x14:conditionalFormatting xmlns:xm="http://schemas.microsoft.com/office/excel/2006/main">
          <x14:cfRule type="dataBar" id="{F16CFB65-F32C-4E7A-9BCA-FDEC78BBFBEA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AE27:AE40</xm:sqref>
        </x14:conditionalFormatting>
        <x14:conditionalFormatting xmlns:xm="http://schemas.microsoft.com/office/excel/2006/main">
          <x14:cfRule type="dataBar" id="{DDBEF0FC-ECD7-4157-90A8-3575ACC37B24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AE16:AE21</xm:sqref>
        </x14:conditionalFormatting>
        <x14:conditionalFormatting xmlns:xm="http://schemas.microsoft.com/office/excel/2006/main">
          <x14:cfRule type="dataBar" id="{971F31A7-8AC7-487F-93BF-7601D1F2D72E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AE42:AE55</xm:sqref>
        </x14:conditionalFormatting>
        <x14:conditionalFormatting xmlns:xm="http://schemas.microsoft.com/office/excel/2006/main">
          <x14:cfRule type="dataBar" id="{D2E755D7-2BF5-4DDB-965A-3FFD3D03ED87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AE57:AE68</xm:sqref>
        </x14:conditionalFormatting>
        <x14:conditionalFormatting xmlns:xm="http://schemas.microsoft.com/office/excel/2006/main">
          <x14:cfRule type="dataBar" id="{8F5C6289-94E6-444A-80CC-F065A1484C5B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AE70:AE74</xm:sqref>
        </x14:conditionalFormatting>
        <x14:conditionalFormatting xmlns:xm="http://schemas.microsoft.com/office/excel/2006/main">
          <x14:cfRule type="dataBar" id="{2727AC38-3613-437D-B76B-E28C0F3CA287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AE76:AE81</xm:sqref>
        </x14:conditionalFormatting>
        <x14:conditionalFormatting xmlns:xm="http://schemas.microsoft.com/office/excel/2006/main">
          <x14:cfRule type="dataBar" id="{B4F9842F-F084-43B0-94CE-ABD09310EB33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AE23:AE25</xm:sqref>
        </x14:conditionalFormatting>
        <x14:conditionalFormatting xmlns:xm="http://schemas.microsoft.com/office/excel/2006/main">
          <x14:cfRule type="dataBar" id="{D6CAE3C6-6FD4-4DB8-8830-5D56DC4964D6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AH27:AH40</xm:sqref>
        </x14:conditionalFormatting>
        <x14:conditionalFormatting xmlns:xm="http://schemas.microsoft.com/office/excel/2006/main">
          <x14:cfRule type="dataBar" id="{7F315A12-186E-4549-8F2F-950A321D0DEF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AH16:AH21</xm:sqref>
        </x14:conditionalFormatting>
        <x14:conditionalFormatting xmlns:xm="http://schemas.microsoft.com/office/excel/2006/main">
          <x14:cfRule type="dataBar" id="{304B568B-3CD4-4BD3-965E-F5FB734F2F6B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AH42:AH55</xm:sqref>
        </x14:conditionalFormatting>
        <x14:conditionalFormatting xmlns:xm="http://schemas.microsoft.com/office/excel/2006/main">
          <x14:cfRule type="dataBar" id="{19C99BE3-90FB-4B98-8BE9-CB69A77D25B4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AH57:AH68</xm:sqref>
        </x14:conditionalFormatting>
        <x14:conditionalFormatting xmlns:xm="http://schemas.microsoft.com/office/excel/2006/main">
          <x14:cfRule type="dataBar" id="{3D93547C-C9E5-494A-BAF0-D9D97280C9AD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AH70:AH74</xm:sqref>
        </x14:conditionalFormatting>
        <x14:conditionalFormatting xmlns:xm="http://schemas.microsoft.com/office/excel/2006/main">
          <x14:cfRule type="dataBar" id="{96D0AF67-6228-433A-8B4D-66F24670796A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AH76:AH81</xm:sqref>
        </x14:conditionalFormatting>
        <x14:conditionalFormatting xmlns:xm="http://schemas.microsoft.com/office/excel/2006/main">
          <x14:cfRule type="dataBar" id="{973FBAB2-DCDA-49CD-A963-A2677CABFE4C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AH23:AH25</xm:sqref>
        </x14:conditionalFormatting>
        <x14:conditionalFormatting xmlns:xm="http://schemas.microsoft.com/office/excel/2006/main">
          <x14:cfRule type="dataBar" id="{5D000193-352A-43CC-B923-DE1A14756651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AK27:AK40</xm:sqref>
        </x14:conditionalFormatting>
        <x14:conditionalFormatting xmlns:xm="http://schemas.microsoft.com/office/excel/2006/main">
          <x14:cfRule type="dataBar" id="{CB8D3532-6E61-4AA8-98D1-C00A279183E6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AK16:AK21</xm:sqref>
        </x14:conditionalFormatting>
        <x14:conditionalFormatting xmlns:xm="http://schemas.microsoft.com/office/excel/2006/main">
          <x14:cfRule type="dataBar" id="{00863276-5C65-4AB5-B4C0-3233324F6679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AK42:AK55</xm:sqref>
        </x14:conditionalFormatting>
        <x14:conditionalFormatting xmlns:xm="http://schemas.microsoft.com/office/excel/2006/main">
          <x14:cfRule type="dataBar" id="{976639C6-164D-4A5C-970D-E8772DB82208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AK57:AK68</xm:sqref>
        </x14:conditionalFormatting>
        <x14:conditionalFormatting xmlns:xm="http://schemas.microsoft.com/office/excel/2006/main">
          <x14:cfRule type="dataBar" id="{8E02471C-D6F0-4B67-871B-8D201DF62E1C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AK70:AK74</xm:sqref>
        </x14:conditionalFormatting>
        <x14:conditionalFormatting xmlns:xm="http://schemas.microsoft.com/office/excel/2006/main">
          <x14:cfRule type="dataBar" id="{0CEAEEB5-1579-4B67-9993-C0E1A0C82592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AK76:AK81</xm:sqref>
        </x14:conditionalFormatting>
        <x14:conditionalFormatting xmlns:xm="http://schemas.microsoft.com/office/excel/2006/main">
          <x14:cfRule type="dataBar" id="{8D0DF1ED-E6DE-46BF-95AC-E946D2D30A21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AK23:AK25</xm:sqref>
        </x14:conditionalFormatting>
        <x14:conditionalFormatting xmlns:xm="http://schemas.microsoft.com/office/excel/2006/main">
          <x14:cfRule type="dataBar" id="{16C2F7B9-199A-49CF-A670-2C7339E83ECA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AN27:AN40</xm:sqref>
        </x14:conditionalFormatting>
        <x14:conditionalFormatting xmlns:xm="http://schemas.microsoft.com/office/excel/2006/main">
          <x14:cfRule type="dataBar" id="{27E19EA6-D89A-4928-8A16-BC1C829AD09B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AN16:AN21</xm:sqref>
        </x14:conditionalFormatting>
        <x14:conditionalFormatting xmlns:xm="http://schemas.microsoft.com/office/excel/2006/main">
          <x14:cfRule type="dataBar" id="{68598C58-671E-47DE-A89E-5C34B48FD9C6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AN42:AN55</xm:sqref>
        </x14:conditionalFormatting>
        <x14:conditionalFormatting xmlns:xm="http://schemas.microsoft.com/office/excel/2006/main">
          <x14:cfRule type="dataBar" id="{A2583FFC-4852-4D46-AE21-3D7C3615FAE9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AN57:AN68</xm:sqref>
        </x14:conditionalFormatting>
        <x14:conditionalFormatting xmlns:xm="http://schemas.microsoft.com/office/excel/2006/main">
          <x14:cfRule type="dataBar" id="{D2ED5CEE-A641-4D94-9E2E-7E9ED5D888D8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AN70:AN74</xm:sqref>
        </x14:conditionalFormatting>
        <x14:conditionalFormatting xmlns:xm="http://schemas.microsoft.com/office/excel/2006/main">
          <x14:cfRule type="dataBar" id="{815215CD-0DDD-42B1-82BF-171E338AD217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AN76:AN81</xm:sqref>
        </x14:conditionalFormatting>
        <x14:conditionalFormatting xmlns:xm="http://schemas.microsoft.com/office/excel/2006/main">
          <x14:cfRule type="dataBar" id="{80F0D5D4-BFB0-4D44-BA58-E7E27ABC6AF4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AN23:AN25</xm:sqref>
        </x14:conditionalFormatting>
        <x14:conditionalFormatting xmlns:xm="http://schemas.microsoft.com/office/excel/2006/main">
          <x14:cfRule type="expression" priority="50" id="{6A616F01-0A90-4D51-8EC2-7C9B6E393940}">
            <xm:f>IF(AA16&lt;&gt;'CAO N° 6'!N16,1,0)</xm:f>
            <x14:dxf>
              <font>
                <color rgb="FFC00000"/>
              </font>
              <fill>
                <patternFill>
                  <bgColor theme="5" tint="0.59996337778862885"/>
                </patternFill>
              </fill>
            </x14:dxf>
          </x14:cfRule>
          <xm:sqref>AA16:AA21 AA23:AA25 AA27:AA40 AA42:AA55 AA57:AA68 AA70:AA74 AA76:AA81</xm:sqref>
        </x14:conditionalFormatting>
        <x14:conditionalFormatting xmlns:xm="http://schemas.microsoft.com/office/excel/2006/main">
          <x14:cfRule type="expression" priority="49" id="{4ECC6905-9B54-4DF4-B9F4-C2EB791D9547}">
            <xm:f>IF(L16&lt;&gt;'CAO N° 1'!N16,1,0)</xm:f>
            <x14:dxf>
              <fill>
                <patternFill>
                  <bgColor theme="5" tint="0.59996337778862885"/>
                </patternFill>
              </fill>
            </x14:dxf>
          </x14:cfRule>
          <xm:sqref>L16:L81</xm:sqref>
        </x14:conditionalFormatting>
        <x14:conditionalFormatting xmlns:xm="http://schemas.microsoft.com/office/excel/2006/main">
          <x14:cfRule type="expression" priority="48" id="{152241FE-A073-4FE6-B259-22BE82B9DA61}">
            <xm:f>IF(O16&lt;&gt;'CAO N° 2'!N16,1,0)</xm:f>
            <x14:dxf>
              <fill>
                <patternFill>
                  <bgColor theme="5" tint="0.59996337778862885"/>
                </patternFill>
              </fill>
            </x14:dxf>
          </x14:cfRule>
          <xm:sqref>O16:O81</xm:sqref>
        </x14:conditionalFormatting>
        <x14:conditionalFormatting xmlns:xm="http://schemas.microsoft.com/office/excel/2006/main">
          <x14:cfRule type="expression" priority="47" id="{165A1611-21BC-40CE-8C1D-D2C6431B7ADC}">
            <xm:f>IF(R16&lt;&gt;'CAO N° 3'!N16,1,0)</xm:f>
            <x14:dxf>
              <fill>
                <patternFill>
                  <bgColor theme="5" tint="0.59996337778862885"/>
                </patternFill>
              </fill>
            </x14:dxf>
          </x14:cfRule>
          <xm:sqref>R16:R81</xm:sqref>
        </x14:conditionalFormatting>
        <x14:conditionalFormatting xmlns:xm="http://schemas.microsoft.com/office/excel/2006/main">
          <x14:cfRule type="expression" priority="46" id="{7DFCE849-9715-412A-9389-022DECDF7AD3}">
            <xm:f>IF(U16&lt;&gt;'CAO N° 4'!N16,1,0)</xm:f>
            <x14:dxf>
              <fill>
                <patternFill>
                  <bgColor theme="5" tint="0.59996337778862885"/>
                </patternFill>
              </fill>
            </x14:dxf>
          </x14:cfRule>
          <xm:sqref>U16:U81</xm:sqref>
        </x14:conditionalFormatting>
        <x14:conditionalFormatting xmlns:xm="http://schemas.microsoft.com/office/excel/2006/main">
          <x14:cfRule type="expression" priority="45" id="{4B86AC71-EE00-4452-9126-5C4D30259030}">
            <xm:f>IF(X16&lt;&gt;'CAO N° 5'!N16,1,0)</xm:f>
            <x14:dxf>
              <fill>
                <patternFill>
                  <bgColor theme="5" tint="0.59996337778862885"/>
                </patternFill>
              </fill>
            </x14:dxf>
          </x14:cfRule>
          <xm:sqref>X16:X81</xm:sqref>
        </x14:conditionalFormatting>
        <x14:conditionalFormatting xmlns:xm="http://schemas.microsoft.com/office/excel/2006/main">
          <x14:cfRule type="expression" priority="25" id="{A06ED56A-157C-4BB3-A1CB-F68512D0E08E}">
            <xm:f>IF(AD16&lt;&gt;'CAO N° 7'!N16,1,0)</xm:f>
            <x14:dxf>
              <font>
                <color rgb="FFC00000"/>
              </font>
              <fill>
                <patternFill>
                  <bgColor theme="5" tint="0.59996337778862885"/>
                </patternFill>
              </fill>
            </x14:dxf>
          </x14:cfRule>
          <xm:sqref>AD16:AD21 AD23:AD25 AD27:AD40 AD42:AD55 AD70:AD74 AD76:AD81 AD57:AD68</xm:sqref>
        </x14:conditionalFormatting>
        <x14:conditionalFormatting xmlns:xm="http://schemas.microsoft.com/office/excel/2006/main">
          <x14:cfRule type="expression" priority="17" id="{ED28E340-F6B1-4161-80DA-C3C1E64CACFB}">
            <xm:f>IF(AG16&lt;&gt;'CAO N° 8'!N16,1,0)</xm:f>
            <x14:dxf>
              <font>
                <color rgb="FFC00000"/>
              </font>
              <fill>
                <patternFill>
                  <bgColor theme="5" tint="0.59996337778862885"/>
                </patternFill>
              </fill>
            </x14:dxf>
          </x14:cfRule>
          <xm:sqref>AG16:AG21 AG23:AG25 AG27:AG40 AG42:AG55 AG57:AG68 AG70:AG74 AG76:AG81</xm:sqref>
        </x14:conditionalFormatting>
        <x14:conditionalFormatting xmlns:xm="http://schemas.microsoft.com/office/excel/2006/main">
          <x14:cfRule type="expression" priority="9" id="{5E7E66FB-86D4-44EF-9E14-824C6456BB4C}">
            <xm:f>IF(AJ16&lt;&gt;'CAO N° 9'!N16,1,0)</xm:f>
            <x14:dxf>
              <font>
                <color rgb="FFC00000"/>
              </font>
              <fill>
                <patternFill>
                  <bgColor theme="5" tint="0.59996337778862885"/>
                </patternFill>
              </fill>
            </x14:dxf>
          </x14:cfRule>
          <xm:sqref>AJ16:AJ21 AJ23:AJ25 AJ27:AJ40 AJ42:AJ55 AJ57:AJ68 AJ70:AJ74 AJ76:AJ81</xm:sqref>
        </x14:conditionalFormatting>
        <x14:conditionalFormatting xmlns:xm="http://schemas.microsoft.com/office/excel/2006/main">
          <x14:cfRule type="expression" priority="1" id="{EC740878-018A-4084-9FCF-97052CD99617}">
            <xm:f>IF(AM16&lt;&gt;'CAO N° 10'!N16,1,0)</xm:f>
            <x14:dxf>
              <font>
                <color rgb="FFC00000"/>
              </font>
              <fill>
                <patternFill>
                  <bgColor theme="5" tint="0.59996337778862885"/>
                </patternFill>
              </fill>
            </x14:dxf>
          </x14:cfRule>
          <xm:sqref>AM16:AM21 AM23:AM25 AM27:AM40 AM42:AM55 AM57:AM68 AM70:AM74 AM76:AM81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S36"/>
  <sheetViews>
    <sheetView showGridLines="0" zoomScale="130" zoomScaleNormal="130" zoomScaleSheetLayoutView="140" workbookViewId="0">
      <selection activeCell="C25" sqref="C25"/>
    </sheetView>
  </sheetViews>
  <sheetFormatPr baseColWidth="10" defaultColWidth="11.44140625" defaultRowHeight="10.199999999999999"/>
  <cols>
    <col min="1" max="1" width="2.88671875" style="108" bestFit="1" customWidth="1"/>
    <col min="2" max="2" width="23.44140625" style="108" customWidth="1"/>
    <col min="3" max="3" width="14.88671875" style="108" customWidth="1"/>
    <col min="4" max="4" width="12.33203125" style="108" customWidth="1"/>
    <col min="5" max="5" width="12.6640625" style="108" customWidth="1"/>
    <col min="6" max="6" width="10.6640625" style="108" customWidth="1"/>
    <col min="7" max="7" width="10.33203125" style="108" customWidth="1"/>
    <col min="8" max="8" width="18.88671875" style="108" customWidth="1"/>
    <col min="9" max="9" width="12.33203125" style="108" customWidth="1"/>
    <col min="10" max="10" width="13" style="108" customWidth="1"/>
    <col min="11" max="11" width="10.6640625" style="108" customWidth="1"/>
    <col min="12" max="12" width="12.33203125" style="108" customWidth="1"/>
    <col min="13" max="13" width="14.6640625" style="108" customWidth="1"/>
    <col min="14" max="14" width="10.6640625" style="108" customWidth="1"/>
    <col min="15" max="15" width="11.44140625" style="108"/>
    <col min="16" max="16" width="14.33203125" style="108" bestFit="1" customWidth="1"/>
    <col min="17" max="19" width="11.44140625" style="108" customWidth="1"/>
    <col min="20" max="16384" width="11.44140625" style="108"/>
  </cols>
  <sheetData>
    <row r="1" spans="1:19" ht="12">
      <c r="A1" s="757" t="s">
        <v>139</v>
      </c>
      <c r="B1" s="757"/>
      <c r="C1" s="757"/>
      <c r="D1" s="757"/>
      <c r="E1" s="757"/>
      <c r="F1" s="757"/>
      <c r="G1" s="757"/>
      <c r="H1" s="757"/>
      <c r="I1" s="757"/>
      <c r="J1" s="757"/>
      <c r="K1" s="757"/>
      <c r="L1" s="757"/>
      <c r="M1" s="757"/>
      <c r="N1" s="757"/>
    </row>
    <row r="2" spans="1:19" ht="12">
      <c r="A2" s="757" t="s">
        <v>138</v>
      </c>
      <c r="B2" s="757"/>
      <c r="C2" s="757"/>
      <c r="D2" s="757"/>
      <c r="E2" s="757"/>
      <c r="F2" s="757"/>
      <c r="G2" s="757"/>
      <c r="H2" s="757"/>
      <c r="I2" s="757"/>
      <c r="J2" s="757"/>
      <c r="K2" s="757"/>
      <c r="L2" s="757"/>
      <c r="M2" s="757"/>
      <c r="N2" s="757"/>
    </row>
    <row r="3" spans="1:19" ht="12">
      <c r="A3" s="757" t="s">
        <v>137</v>
      </c>
      <c r="B3" s="757"/>
      <c r="C3" s="757"/>
      <c r="D3" s="757"/>
      <c r="E3" s="757"/>
      <c r="F3" s="757"/>
      <c r="G3" s="757"/>
      <c r="H3" s="757"/>
      <c r="I3" s="757"/>
      <c r="J3" s="757"/>
      <c r="K3" s="757"/>
      <c r="L3" s="757"/>
      <c r="M3" s="757"/>
      <c r="N3" s="757"/>
    </row>
    <row r="4" spans="1:19">
      <c r="A4" s="118"/>
      <c r="B4" s="118"/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</row>
    <row r="5" spans="1:19" ht="15.6" customHeight="1">
      <c r="A5" s="767" t="str">
        <f>ANALISIS!A2:F2</f>
        <v>PROYECTO:  MEJORAMIENTO CAMINO ROSARIO DEL INGRE - MACHICOCA - IVOCA (FASE I)</v>
      </c>
      <c r="B5" s="767"/>
      <c r="C5" s="767"/>
      <c r="D5" s="767"/>
      <c r="E5" s="767"/>
      <c r="F5" s="767"/>
      <c r="G5" s="767"/>
      <c r="H5" s="767"/>
      <c r="I5" s="767"/>
      <c r="J5" s="767"/>
      <c r="K5" s="767"/>
      <c r="L5" s="767"/>
      <c r="M5" s="767"/>
      <c r="N5" s="767"/>
    </row>
    <row r="6" spans="1:19" ht="27.6">
      <c r="A6" s="758" t="s">
        <v>136</v>
      </c>
      <c r="B6" s="758"/>
      <c r="C6" s="758"/>
      <c r="D6" s="758"/>
      <c r="E6" s="758"/>
      <c r="F6" s="758"/>
      <c r="G6" s="758"/>
      <c r="H6" s="758"/>
      <c r="I6" s="758"/>
      <c r="J6" s="758"/>
      <c r="K6" s="758"/>
      <c r="L6" s="758"/>
      <c r="M6" s="758"/>
      <c r="N6" s="758"/>
    </row>
    <row r="7" spans="1:19" ht="16.2" thickBot="1">
      <c r="A7" s="117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</row>
    <row r="8" spans="1:19" ht="19.5" customHeight="1">
      <c r="A8" s="759" t="s">
        <v>135</v>
      </c>
      <c r="B8" s="761" t="s">
        <v>0</v>
      </c>
      <c r="C8" s="761" t="s">
        <v>134</v>
      </c>
      <c r="D8" s="763" t="s">
        <v>133</v>
      </c>
      <c r="E8" s="763"/>
      <c r="F8" s="763"/>
      <c r="G8" s="308" t="s">
        <v>132</v>
      </c>
      <c r="H8" s="308" t="s">
        <v>131</v>
      </c>
      <c r="I8" s="766" t="s">
        <v>130</v>
      </c>
      <c r="J8" s="766"/>
      <c r="K8" s="766"/>
      <c r="L8" s="764" t="s">
        <v>129</v>
      </c>
      <c r="M8" s="764"/>
      <c r="N8" s="765"/>
      <c r="Q8" s="755" t="s">
        <v>271</v>
      </c>
      <c r="R8" s="755"/>
      <c r="S8" s="755"/>
    </row>
    <row r="9" spans="1:19" ht="10.8" thickBot="1">
      <c r="A9" s="760"/>
      <c r="B9" s="762"/>
      <c r="C9" s="762"/>
      <c r="D9" s="295" t="s">
        <v>128</v>
      </c>
      <c r="E9" s="295" t="s">
        <v>125</v>
      </c>
      <c r="F9" s="295" t="s">
        <v>124</v>
      </c>
      <c r="G9" s="309" t="s">
        <v>127</v>
      </c>
      <c r="H9" s="309" t="s">
        <v>185</v>
      </c>
      <c r="I9" s="299" t="s">
        <v>126</v>
      </c>
      <c r="J9" s="299" t="s">
        <v>125</v>
      </c>
      <c r="K9" s="299" t="s">
        <v>124</v>
      </c>
      <c r="L9" s="303" t="s">
        <v>126</v>
      </c>
      <c r="M9" s="303" t="s">
        <v>125</v>
      </c>
      <c r="N9" s="304" t="s">
        <v>124</v>
      </c>
    </row>
    <row r="10" spans="1:19" ht="15" customHeight="1">
      <c r="A10" s="115">
        <v>1</v>
      </c>
      <c r="B10" s="114" t="s">
        <v>123</v>
      </c>
      <c r="C10" s="130" t="s">
        <v>122</v>
      </c>
      <c r="D10" s="131">
        <v>2328460.8957839417</v>
      </c>
      <c r="E10" s="131">
        <f>+D10</f>
        <v>2328460.9</v>
      </c>
      <c r="F10" s="296">
        <f t="shared" ref="F10:F34" si="0">ROUNDDOWN(E10/$E$34,4)</f>
        <v>0.13769999999999999</v>
      </c>
      <c r="G10" s="337" t="s">
        <v>122</v>
      </c>
      <c r="H10" s="338"/>
      <c r="I10" s="132">
        <f>IF(G10="",0,INDEX(ANALISIS!$M$5:$M$12,MATCH(G10,ANALISIS!$I$5:$I$12,0),1))</f>
        <v>2328460.9</v>
      </c>
      <c r="J10" s="132">
        <f>I10</f>
        <v>2328460.9</v>
      </c>
      <c r="K10" s="300">
        <f t="shared" ref="K10:K29" si="1">IF(J10="",CLEAN(J10),ROUNDDOWN(J10/$E$34,4))</f>
        <v>0.13769999999999999</v>
      </c>
      <c r="L10" s="133">
        <f>IF(G10="",0,INDEX(ANALISIS!$K$5:$K$12,MATCH(G10,ANALISIS!$I$5:$I$12,0),1))</f>
        <v>0</v>
      </c>
      <c r="M10" s="133">
        <v>0</v>
      </c>
      <c r="N10" s="305">
        <f t="shared" ref="N10:N29" si="2">IF(M10="",CLEAN(M10),ROUNDDOWN(M10/$E$34,4))</f>
        <v>0</v>
      </c>
      <c r="P10" s="385"/>
      <c r="Q10" s="429"/>
      <c r="R10" s="430">
        <f>IF(J10="",NA(),ROUNDDOWN(J10/$E$34,4))</f>
        <v>0.13769999999999999</v>
      </c>
      <c r="S10" s="430">
        <f>IF(M10="",NA(),ROUNDDOWN(M10/$E$34,4))</f>
        <v>0</v>
      </c>
    </row>
    <row r="11" spans="1:19" ht="15" customHeight="1">
      <c r="A11" s="113">
        <f t="shared" ref="A11:A33" si="3">+A10+1</f>
        <v>2</v>
      </c>
      <c r="B11" s="112" t="s">
        <v>121</v>
      </c>
      <c r="C11" s="134" t="s">
        <v>211</v>
      </c>
      <c r="D11" s="135">
        <v>1386114.9242799999</v>
      </c>
      <c r="E11" s="135">
        <f t="shared" ref="E11:E34" si="4">+E10+D11</f>
        <v>3714575.82</v>
      </c>
      <c r="F11" s="297">
        <f t="shared" si="0"/>
        <v>0.21970000000000001</v>
      </c>
      <c r="G11" s="339" t="str">
        <f>IF(C11=IFERROR(VLOOKUP(C11,ANALISIS!$S$5:$S$12,1,0),""),INDEX(ANALISIS!$I$5:$I$12,MATCH(C11,ANALISIS!$S$5:$S$12,0),1),"")</f>
        <v/>
      </c>
      <c r="H11" s="340" t="str">
        <f>_xlfn.IFNA(INDEX(ANALISIS!$J$5:$J$15,MATCH(G11,ANALISIS!$I$5:$I$15,0),1),"")</f>
        <v/>
      </c>
      <c r="I11" s="135" t="str">
        <f>IF(G11="","",INDEX(ANALISIS!$M$5:$M$15,MATCH(G11,ANALISIS!$I$5:$I$15,0),1))</f>
        <v/>
      </c>
      <c r="J11" s="135">
        <f>IF(IF(Q10=1*RIGHT(ANALISIS!$D$15,2),Q10,"")="",IF(I11="",J10,I11+J10),"")</f>
        <v>2328460.9</v>
      </c>
      <c r="K11" s="301">
        <f t="shared" si="1"/>
        <v>0.13769999999999999</v>
      </c>
      <c r="L11" s="136" t="str">
        <f>IF(G11="","",INDEX(ANALISIS!$K$5:$K$15,MATCH(G11,ANALISIS!$I$5:$I$15,0),1))</f>
        <v/>
      </c>
      <c r="M11" s="136">
        <f>IF(IF(Q10=1*RIGHT(ANALISIS!$D$15,2),Q10,"")="",IF(L11="",M10,L11+M10),"")</f>
        <v>0</v>
      </c>
      <c r="N11" s="306">
        <f t="shared" si="2"/>
        <v>0</v>
      </c>
      <c r="O11" s="383"/>
      <c r="P11" s="386"/>
      <c r="Q11" s="431">
        <f>IF(RIGHT(G11,1)="",Q10,RIGHT(G11,1)*1)</f>
        <v>0</v>
      </c>
      <c r="R11" s="430">
        <f t="shared" ref="R11:R34" si="5">IF(J11="",NA(),ROUNDDOWN(J11/$E$34,4))</f>
        <v>0.13769999999999999</v>
      </c>
      <c r="S11" s="430">
        <f t="shared" ref="S11:S34" si="6">IF(M11="",NA(),ROUNDDOWN(M11/$E$34,4))</f>
        <v>0</v>
      </c>
    </row>
    <row r="12" spans="1:19" ht="15" customHeight="1">
      <c r="A12" s="113">
        <f t="shared" si="3"/>
        <v>3</v>
      </c>
      <c r="B12" s="112" t="s">
        <v>120</v>
      </c>
      <c r="C12" s="134" t="s">
        <v>212</v>
      </c>
      <c r="D12" s="135">
        <v>338076.81079999998</v>
      </c>
      <c r="E12" s="135">
        <f t="shared" si="4"/>
        <v>4052652.63</v>
      </c>
      <c r="F12" s="297">
        <f t="shared" si="0"/>
        <v>0.2397</v>
      </c>
      <c r="G12" s="339" t="str">
        <f>IF(C12=IFERROR(VLOOKUP(C12,ANALISIS!$S$5:$S$12,1,0),""),INDEX(ANALISIS!$I$5:$I$12,MATCH(C12,ANALISIS!$S$5:$S$12,0),1),"")</f>
        <v/>
      </c>
      <c r="H12" s="340" t="str">
        <f>_xlfn.IFNA(INDEX(ANALISIS!$J$5:$J$15,MATCH(G12,ANALISIS!$I$5:$I$15,0),1),"")</f>
        <v/>
      </c>
      <c r="I12" s="135" t="str">
        <f>IF(G12="","",INDEX(ANALISIS!$M$5:$M$15,MATCH(G12,ANALISIS!$I$5:$I$15,0),1))</f>
        <v/>
      </c>
      <c r="J12" s="135">
        <f>IF(IF(Q11=1*RIGHT(ANALISIS!$D$15,2),Q11,"")="",IF(I12="",J11,I12+J11),"")</f>
        <v>2328460.9</v>
      </c>
      <c r="K12" s="301">
        <f t="shared" si="1"/>
        <v>0.13769999999999999</v>
      </c>
      <c r="L12" s="136" t="str">
        <f>IF(G12="","",INDEX(ANALISIS!$K$5:$K$15,MATCH(G12,ANALISIS!$I$5:$I$15,0),1))</f>
        <v/>
      </c>
      <c r="M12" s="136">
        <f>IF(IF(Q11=1*RIGHT(ANALISIS!$D$15,2),Q11,"")="",IF(L12="",M11,L12+M11),"")</f>
        <v>0</v>
      </c>
      <c r="N12" s="306">
        <f t="shared" si="2"/>
        <v>0</v>
      </c>
      <c r="O12" s="383"/>
      <c r="P12" s="386"/>
      <c r="Q12" s="431">
        <f t="shared" ref="Q12:Q34" si="7">IF(RIGHT(G12,1)="",Q11,RIGHT(G12,1)*1)</f>
        <v>0</v>
      </c>
      <c r="R12" s="430">
        <f t="shared" si="5"/>
        <v>0.13769999999999999</v>
      </c>
      <c r="S12" s="430">
        <f t="shared" si="6"/>
        <v>0</v>
      </c>
    </row>
    <row r="13" spans="1:19" ht="15" customHeight="1">
      <c r="A13" s="113">
        <f t="shared" si="3"/>
        <v>4</v>
      </c>
      <c r="B13" s="112" t="s">
        <v>119</v>
      </c>
      <c r="C13" s="134" t="s">
        <v>213</v>
      </c>
      <c r="D13" s="135">
        <v>676153.62159999995</v>
      </c>
      <c r="E13" s="135">
        <f t="shared" si="4"/>
        <v>4728806.25</v>
      </c>
      <c r="F13" s="297">
        <f t="shared" si="0"/>
        <v>0.2797</v>
      </c>
      <c r="G13" s="339" t="str">
        <f>IF(C13=IFERROR(VLOOKUP(C13,ANALISIS!$S$5:$S$12,1,0),""),INDEX(ANALISIS!$I$5:$I$12,MATCH(C13,ANALISIS!$S$5:$S$12,0),1),"")</f>
        <v/>
      </c>
      <c r="H13" s="340" t="str">
        <f>_xlfn.IFNA(INDEX(ANALISIS!$J$5:$J$15,MATCH(G13,ANALISIS!$I$5:$I$15,0),1),"")</f>
        <v/>
      </c>
      <c r="I13" s="135" t="str">
        <f>IF(G13="","",INDEX(ANALISIS!$M$5:$M$15,MATCH(G13,ANALISIS!$I$5:$I$15,0),1))</f>
        <v/>
      </c>
      <c r="J13" s="135">
        <f>IF(IF(Q12=1*RIGHT(ANALISIS!$D$15,2),Q12,"")="",IF(I13="",J12,I13+J12),"")</f>
        <v>2328460.9</v>
      </c>
      <c r="K13" s="301">
        <f t="shared" si="1"/>
        <v>0.13769999999999999</v>
      </c>
      <c r="L13" s="136" t="str">
        <f>IF(G13="","",INDEX(ANALISIS!$K$5:$K$15,MATCH(G13,ANALISIS!$I$5:$I$15,0),1))</f>
        <v/>
      </c>
      <c r="M13" s="136">
        <f>IF(IF(Q12=1*RIGHT(ANALISIS!$D$15,2),Q12,"")="",IF(L13="",M12,L13+M12),"")</f>
        <v>0</v>
      </c>
      <c r="N13" s="306">
        <f t="shared" si="2"/>
        <v>0</v>
      </c>
      <c r="O13" s="383"/>
      <c r="P13" s="386"/>
      <c r="Q13" s="431">
        <f t="shared" si="7"/>
        <v>0</v>
      </c>
      <c r="R13" s="430">
        <f t="shared" si="5"/>
        <v>0.13769999999999999</v>
      </c>
      <c r="S13" s="430">
        <f t="shared" si="6"/>
        <v>0</v>
      </c>
    </row>
    <row r="14" spans="1:19" ht="15" customHeight="1">
      <c r="A14" s="113">
        <f t="shared" si="3"/>
        <v>5</v>
      </c>
      <c r="B14" s="112" t="s">
        <v>118</v>
      </c>
      <c r="C14" s="134" t="s">
        <v>214</v>
      </c>
      <c r="D14" s="135">
        <v>1859422.4593999998</v>
      </c>
      <c r="E14" s="135">
        <f t="shared" si="4"/>
        <v>6588228.71</v>
      </c>
      <c r="F14" s="297">
        <f t="shared" si="0"/>
        <v>0.38969999999999999</v>
      </c>
      <c r="G14" s="339" t="str">
        <f>IF(C14=IFERROR(VLOOKUP(C14,ANALISIS!$S$5:$S$12,1,0),""),INDEX(ANALISIS!$I$5:$I$12,MATCH(C14,ANALISIS!$S$5:$S$12,0),1),"")</f>
        <v/>
      </c>
      <c r="H14" s="340" t="str">
        <f>_xlfn.IFNA(INDEX(ANALISIS!$J$5:$J$15,MATCH(G14,ANALISIS!$I$5:$I$15,0),1),"")</f>
        <v/>
      </c>
      <c r="I14" s="135" t="str">
        <f>IF(G14="","",INDEX(ANALISIS!$M$5:$M$15,MATCH(G14,ANALISIS!$I$5:$I$15,0),1))</f>
        <v/>
      </c>
      <c r="J14" s="135">
        <f>IF(IF(Q13=1*RIGHT(ANALISIS!$D$15,2),Q13,"")="",IF(I14="",J13,I14+J13),"")</f>
        <v>2328460.9</v>
      </c>
      <c r="K14" s="301">
        <f t="shared" si="1"/>
        <v>0.13769999999999999</v>
      </c>
      <c r="L14" s="136" t="str">
        <f>IF(G14="","",INDEX(ANALISIS!$K$5:$K$15,MATCH(G14,ANALISIS!$I$5:$I$15,0),1))</f>
        <v/>
      </c>
      <c r="M14" s="136">
        <f>IF(IF(Q13=1*RIGHT(ANALISIS!$D$15,2),Q13,"")="",IF(L14="",M13,L14+M13),"")</f>
        <v>0</v>
      </c>
      <c r="N14" s="306">
        <f t="shared" si="2"/>
        <v>0</v>
      </c>
      <c r="O14" s="383"/>
      <c r="P14" s="386"/>
      <c r="Q14" s="431">
        <f t="shared" si="7"/>
        <v>0</v>
      </c>
      <c r="R14" s="430">
        <f t="shared" si="5"/>
        <v>0.13769999999999999</v>
      </c>
      <c r="S14" s="430">
        <f t="shared" si="6"/>
        <v>0</v>
      </c>
    </row>
    <row r="15" spans="1:19" ht="15" customHeight="1">
      <c r="A15" s="113">
        <f t="shared" si="3"/>
        <v>6</v>
      </c>
      <c r="B15" s="112" t="s">
        <v>117</v>
      </c>
      <c r="C15" s="134" t="s">
        <v>215</v>
      </c>
      <c r="D15" s="135">
        <v>845192.027</v>
      </c>
      <c r="E15" s="135">
        <f t="shared" si="4"/>
        <v>7433420.7400000002</v>
      </c>
      <c r="F15" s="297">
        <f t="shared" si="0"/>
        <v>0.43969999999999998</v>
      </c>
      <c r="G15" s="339" t="str">
        <f>IF(C15=IFERROR(VLOOKUP(C15,ANALISIS!$S$5:$S$12,1,0),""),INDEX(ANALISIS!$I$5:$I$12,MATCH(C15,ANALISIS!$S$5:$S$12,0),1),"")</f>
        <v>CAO N° 1</v>
      </c>
      <c r="H15" s="340" t="str">
        <f>_xlfn.IFNA(INDEX(ANALISIS!$J$5:$J$15,MATCH(G15,ANALISIS!$I$5:$I$15,0),1),"")</f>
        <v>21-OCT-19 AL 31-ENE-20</v>
      </c>
      <c r="I15" s="135">
        <f>IF(G15="","",INDEX(ANALISIS!$M$5:$M$15,MATCH(G15,ANALISIS!$I$5:$I$15,0),1))</f>
        <v>1507471.34</v>
      </c>
      <c r="J15" s="135">
        <f>IF(IF(Q14=1*RIGHT(ANALISIS!$D$15,2),Q14,"")="",IF(I15="",J14,I15+J14),"")</f>
        <v>3835932.24</v>
      </c>
      <c r="K15" s="301">
        <f t="shared" si="1"/>
        <v>0.22689999999999999</v>
      </c>
      <c r="L15" s="136">
        <f>IF(G15="","",INDEX(ANALISIS!$K$5:$K$15,MATCH(G15,ANALISIS!$I$5:$I$15,0),1))</f>
        <v>1748294.44</v>
      </c>
      <c r="M15" s="136">
        <f>IF(IF(Q14=1*RIGHT(ANALISIS!$D$15,2),Q14,"")="",IF(L15="",M14,L15+M14),"")</f>
        <v>1748294.44</v>
      </c>
      <c r="N15" s="306">
        <f t="shared" si="2"/>
        <v>0.10340000000000001</v>
      </c>
      <c r="O15" s="383"/>
      <c r="P15" s="386"/>
      <c r="Q15" s="431">
        <f t="shared" si="7"/>
        <v>1</v>
      </c>
      <c r="R15" s="430">
        <f t="shared" si="5"/>
        <v>0.22689999999999999</v>
      </c>
      <c r="S15" s="430">
        <f t="shared" si="6"/>
        <v>0.10340000000000001</v>
      </c>
    </row>
    <row r="16" spans="1:19" ht="15" customHeight="1">
      <c r="A16" s="113">
        <f t="shared" si="3"/>
        <v>7</v>
      </c>
      <c r="B16" s="112" t="s">
        <v>116</v>
      </c>
      <c r="C16" s="134" t="s">
        <v>216</v>
      </c>
      <c r="D16" s="135">
        <v>1014230.4323999999</v>
      </c>
      <c r="E16" s="135">
        <f t="shared" si="4"/>
        <v>8447651.1699999999</v>
      </c>
      <c r="F16" s="297">
        <f t="shared" si="0"/>
        <v>0.49969999999999998</v>
      </c>
      <c r="G16" s="339" t="str">
        <f>IF(C16=IFERROR(VLOOKUP(C16,ANALISIS!$S$5:$S$12,1,0),""),INDEX(ANALISIS!$I$5:$I$12,MATCH(C16,ANALISIS!$S$5:$S$12,0),1),"")</f>
        <v/>
      </c>
      <c r="H16" s="340" t="str">
        <f>_xlfn.IFNA(INDEX(ANALISIS!$J$5:$J$15,MATCH(G16,ANALISIS!$I$5:$I$15,0),1),"")</f>
        <v/>
      </c>
      <c r="I16" s="135" t="str">
        <f>IF(G16="","",INDEX(ANALISIS!$M$5:$M$15,MATCH(G16,ANALISIS!$I$5:$I$15,0),1))</f>
        <v/>
      </c>
      <c r="J16" s="135">
        <f>IF(IF(Q15=1*RIGHT(ANALISIS!$D$15,2),Q15,"")="",IF(I16="",J15,I16+J15),"")</f>
        <v>3835932.24</v>
      </c>
      <c r="K16" s="301">
        <f t="shared" si="1"/>
        <v>0.22689999999999999</v>
      </c>
      <c r="L16" s="136" t="str">
        <f>IF(G16="","",INDEX(ANALISIS!$K$5:$K$15,MATCH(G16,ANALISIS!$I$5:$I$15,0),1))</f>
        <v/>
      </c>
      <c r="M16" s="136">
        <f>IF(IF(Q15=1*RIGHT(ANALISIS!$D$15,2),Q15,"")="",IF(L16="",M15,L16+M15),"")</f>
        <v>1748294.44</v>
      </c>
      <c r="N16" s="306">
        <f t="shared" si="2"/>
        <v>0.10340000000000001</v>
      </c>
      <c r="O16" s="383"/>
      <c r="P16" s="386"/>
      <c r="Q16" s="431">
        <f t="shared" si="7"/>
        <v>1</v>
      </c>
      <c r="R16" s="430">
        <f t="shared" si="5"/>
        <v>0.22689999999999999</v>
      </c>
      <c r="S16" s="430">
        <f t="shared" si="6"/>
        <v>0.10340000000000001</v>
      </c>
    </row>
    <row r="17" spans="1:19" ht="15" customHeight="1">
      <c r="A17" s="113">
        <f t="shared" si="3"/>
        <v>8</v>
      </c>
      <c r="B17" s="112" t="s">
        <v>115</v>
      </c>
      <c r="C17" s="134" t="s">
        <v>217</v>
      </c>
      <c r="D17" s="135">
        <v>1183268.8378000001</v>
      </c>
      <c r="E17" s="135">
        <f t="shared" si="4"/>
        <v>9630920.0099999998</v>
      </c>
      <c r="F17" s="297">
        <f t="shared" si="0"/>
        <v>0.56969999999999998</v>
      </c>
      <c r="G17" s="339" t="str">
        <f>IF(C17=IFERROR(VLOOKUP(C17,ANALISIS!$S$5:$S$12,1,0),""),INDEX(ANALISIS!$I$5:$I$12,MATCH(C17,ANALISIS!$S$5:$S$12,0),1),"")</f>
        <v>CAO N° 2</v>
      </c>
      <c r="H17" s="340" t="str">
        <f>_xlfn.IFNA(INDEX(ANALISIS!$J$5:$J$15,MATCH(G17,ANALISIS!$I$5:$I$15,0),1),"")</f>
        <v>01-FEB-20 AL 20-MAR-20</v>
      </c>
      <c r="I17" s="135">
        <f>IF(G17="","",INDEX(ANALISIS!$M$5:$M$15,MATCH(G17,ANALISIS!$I$5:$I$15,0),1))</f>
        <v>365062.37</v>
      </c>
      <c r="J17" s="135">
        <f>IF(IF(Q16=1*RIGHT(ANALISIS!$D$15,2),Q16,"")="",IF(I17="",J16,I17+J16),"")</f>
        <v>4200994.6100000003</v>
      </c>
      <c r="K17" s="301">
        <f t="shared" si="1"/>
        <v>0.2485</v>
      </c>
      <c r="L17" s="136">
        <f>IF(G17="","",INDEX(ANALISIS!$K$5:$K$15,MATCH(G17,ANALISIS!$I$5:$I$15,0),1))</f>
        <v>423382.18</v>
      </c>
      <c r="M17" s="136">
        <f>IF(IF(Q16=1*RIGHT(ANALISIS!$D$15,2),Q16,"")="",IF(L17="",M16,L17+M16),"")</f>
        <v>2171676.62</v>
      </c>
      <c r="N17" s="306">
        <f t="shared" si="2"/>
        <v>0.12839999999999999</v>
      </c>
      <c r="O17" s="383"/>
      <c r="P17" s="386"/>
      <c r="Q17" s="431">
        <f t="shared" si="7"/>
        <v>2</v>
      </c>
      <c r="R17" s="430">
        <f t="shared" si="5"/>
        <v>0.2485</v>
      </c>
      <c r="S17" s="430">
        <f t="shared" si="6"/>
        <v>0.12839999999999999</v>
      </c>
    </row>
    <row r="18" spans="1:19" ht="15" customHeight="1">
      <c r="A18" s="113">
        <f t="shared" si="3"/>
        <v>9</v>
      </c>
      <c r="B18" s="112" t="s">
        <v>114</v>
      </c>
      <c r="C18" s="137" t="s">
        <v>113</v>
      </c>
      <c r="D18" s="135"/>
      <c r="E18" s="135">
        <f t="shared" si="4"/>
        <v>9630920.0099999998</v>
      </c>
      <c r="F18" s="297">
        <f t="shared" si="0"/>
        <v>0.56969999999999998</v>
      </c>
      <c r="G18" s="339" t="str">
        <f>IF(C18=IFERROR(VLOOKUP(C18,ANALISIS!$S$5:$S$12,1,0),""),INDEX(ANALISIS!$I$5:$I$12,MATCH(C18,ANALISIS!$S$5:$S$12,0),1),"")</f>
        <v/>
      </c>
      <c r="H18" s="340" t="str">
        <f>_xlfn.IFNA(INDEX(ANALISIS!$J$5:$J$15,MATCH(G18,ANALISIS!$I$5:$I$15,0),1),"")</f>
        <v/>
      </c>
      <c r="I18" s="135" t="str">
        <f>IF(G18="","",INDEX(ANALISIS!$M$5:$M$15,MATCH(G18,ANALISIS!$I$5:$I$15,0),1))</f>
        <v/>
      </c>
      <c r="J18" s="135">
        <f>IF(IF(Q17=1*RIGHT(ANALISIS!$D$15,2),Q17,"")="",IF(I18="",J17,I18+J17),"")</f>
        <v>4200994.6100000003</v>
      </c>
      <c r="K18" s="301">
        <f t="shared" si="1"/>
        <v>0.2485</v>
      </c>
      <c r="L18" s="136" t="str">
        <f>IF(G18="","",INDEX(ANALISIS!$K$5:$K$15,MATCH(G18,ANALISIS!$I$5:$I$15,0),1))</f>
        <v/>
      </c>
      <c r="M18" s="136">
        <f>IF(IF(Q17=1*RIGHT(ANALISIS!$D$15,2),Q17,"")="",IF(L18="",M17,L18+M17),"")</f>
        <v>2171676.62</v>
      </c>
      <c r="N18" s="306">
        <f t="shared" si="2"/>
        <v>0.12839999999999999</v>
      </c>
      <c r="O18" s="383"/>
      <c r="P18" s="386"/>
      <c r="Q18" s="431">
        <f t="shared" si="7"/>
        <v>2</v>
      </c>
      <c r="R18" s="430">
        <f t="shared" si="5"/>
        <v>0.2485</v>
      </c>
      <c r="S18" s="430">
        <f t="shared" si="6"/>
        <v>0.12839999999999999</v>
      </c>
    </row>
    <row r="19" spans="1:19" ht="15" customHeight="1">
      <c r="A19" s="113">
        <f t="shared" si="3"/>
        <v>10</v>
      </c>
      <c r="B19" s="112" t="s">
        <v>112</v>
      </c>
      <c r="C19" s="134" t="s">
        <v>218</v>
      </c>
      <c r="D19" s="135">
        <v>676153.62159999995</v>
      </c>
      <c r="E19" s="135">
        <f t="shared" si="4"/>
        <v>10307073.630000001</v>
      </c>
      <c r="F19" s="297">
        <f t="shared" si="0"/>
        <v>0.60970000000000002</v>
      </c>
      <c r="G19" s="339" t="str">
        <f>IF(C19=IFERROR(VLOOKUP(C19,ANALISIS!$S$5:$S$12,1,0),""),INDEX(ANALISIS!$I$5:$I$12,MATCH(C19,ANALISIS!$S$5:$S$12,0),1),"")</f>
        <v/>
      </c>
      <c r="H19" s="340" t="str">
        <f>_xlfn.IFNA(INDEX(ANALISIS!$J$5:$J$15,MATCH(G19,ANALISIS!$I$5:$I$15,0),1),"")</f>
        <v/>
      </c>
      <c r="I19" s="135" t="str">
        <f>IF(G19="","",INDEX(ANALISIS!$M$5:$M$15,MATCH(G19,ANALISIS!$I$5:$I$15,0),1))</f>
        <v/>
      </c>
      <c r="J19" s="135">
        <f>IF(IF(Q18=1*RIGHT(ANALISIS!$D$15,2),Q18,"")="",IF(I19="",J18,I19+J18),"")</f>
        <v>4200994.6100000003</v>
      </c>
      <c r="K19" s="301">
        <f t="shared" si="1"/>
        <v>0.2485</v>
      </c>
      <c r="L19" s="136" t="str">
        <f>IF(G19="","",INDEX(ANALISIS!$K$5:$K$15,MATCH(G19,ANALISIS!$I$5:$I$15,0),1))</f>
        <v/>
      </c>
      <c r="M19" s="136">
        <f>IF(IF(Q18=1*RIGHT(ANALISIS!$D$15,2),Q18,"")="",IF(L19="",M18,L19+M18),"")</f>
        <v>2171676.62</v>
      </c>
      <c r="N19" s="306">
        <f t="shared" si="2"/>
        <v>0.12839999999999999</v>
      </c>
      <c r="O19" s="383"/>
      <c r="P19" s="386"/>
      <c r="Q19" s="431">
        <f t="shared" si="7"/>
        <v>2</v>
      </c>
      <c r="R19" s="430">
        <f t="shared" si="5"/>
        <v>0.2485</v>
      </c>
      <c r="S19" s="430">
        <f t="shared" si="6"/>
        <v>0.12839999999999999</v>
      </c>
    </row>
    <row r="20" spans="1:19" ht="15" customHeight="1">
      <c r="A20" s="113">
        <f t="shared" si="3"/>
        <v>11</v>
      </c>
      <c r="B20" s="112" t="s">
        <v>111</v>
      </c>
      <c r="C20" s="134" t="s">
        <v>219</v>
      </c>
      <c r="D20" s="135">
        <v>625442.09997999994</v>
      </c>
      <c r="E20" s="135">
        <f t="shared" si="4"/>
        <v>10932515.73</v>
      </c>
      <c r="F20" s="297">
        <f t="shared" si="0"/>
        <v>0.64670000000000005</v>
      </c>
      <c r="G20" s="339" t="str">
        <f>IF(C20=IFERROR(VLOOKUP(C20,ANALISIS!$S$5:$S$12,1,0),""),INDEX(ANALISIS!$I$5:$I$12,MATCH(C20,ANALISIS!$S$5:$S$12,0),1),"")</f>
        <v>CAO N° 3</v>
      </c>
      <c r="H20" s="340" t="str">
        <f>_xlfn.IFNA(INDEX(ANALISIS!$J$5:$J$15,MATCH(G20,ANALISIS!$I$5:$I$15,0),1),"")</f>
        <v>21-MAR-20 AL 30-NOV-20</v>
      </c>
      <c r="I20" s="135">
        <f>IF(G20="","",INDEX(ANALISIS!$M$5:$M$15,MATCH(G20,ANALISIS!$I$5:$I$15,0),1))</f>
        <v>1211083.56</v>
      </c>
      <c r="J20" s="135">
        <f>IF(IF(Q19=1*RIGHT(ANALISIS!$D$15,2),Q19,"")="",IF(I20="",J19,I20+J19),"")</f>
        <v>5412078.1699999999</v>
      </c>
      <c r="K20" s="301">
        <f t="shared" si="1"/>
        <v>0.3201</v>
      </c>
      <c r="L20" s="136">
        <f>IF(G20="","",INDEX(ANALISIS!$K$5:$K$15,MATCH(G20,ANALISIS!$I$5:$I$15,0),1))</f>
        <v>1404557.81</v>
      </c>
      <c r="M20" s="136">
        <f>IF(IF(Q19=1*RIGHT(ANALISIS!$D$15,2),Q19,"")="",IF(L20="",M19,L20+M19),"")</f>
        <v>3576234.43</v>
      </c>
      <c r="N20" s="306">
        <f t="shared" si="2"/>
        <v>0.21149999999999999</v>
      </c>
      <c r="O20" s="383"/>
      <c r="P20" s="386"/>
      <c r="Q20" s="431">
        <f t="shared" si="7"/>
        <v>3</v>
      </c>
      <c r="R20" s="430">
        <f t="shared" si="5"/>
        <v>0.3201</v>
      </c>
      <c r="S20" s="430">
        <f t="shared" si="6"/>
        <v>0.21149999999999999</v>
      </c>
    </row>
    <row r="21" spans="1:19" ht="15" customHeight="1">
      <c r="A21" s="113">
        <f t="shared" si="3"/>
        <v>12</v>
      </c>
      <c r="B21" s="112" t="s">
        <v>110</v>
      </c>
      <c r="C21" s="134" t="s">
        <v>220</v>
      </c>
      <c r="D21" s="135">
        <v>507115.21619999997</v>
      </c>
      <c r="E21" s="135">
        <f t="shared" si="4"/>
        <v>11439630.949999999</v>
      </c>
      <c r="F21" s="297">
        <f t="shared" si="0"/>
        <v>0.67669999999999997</v>
      </c>
      <c r="G21" s="339" t="str">
        <f>IF(C21=IFERROR(VLOOKUP(C21,ANALISIS!$S$5:$S$12,1,0),""),INDEX(ANALISIS!$I$5:$I$12,MATCH(C21,ANALISIS!$S$5:$S$12,0),1),"")</f>
        <v/>
      </c>
      <c r="H21" s="340" t="str">
        <f>_xlfn.IFNA(INDEX(ANALISIS!$J$5:$J$15,MATCH(G21,ANALISIS!$I$5:$I$15,0),1),"")</f>
        <v/>
      </c>
      <c r="I21" s="135" t="str">
        <f>IF(G21="","",INDEX(ANALISIS!$M$5:$M$15,MATCH(G21,ANALISIS!$I$5:$I$15,0),1))</f>
        <v/>
      </c>
      <c r="J21" s="135">
        <f>IF(IF(Q20=1*RIGHT(ANALISIS!$D$15,2),Q20,"")="",IF(I21="",J20,I21+J20),"")</f>
        <v>5412078.1699999999</v>
      </c>
      <c r="K21" s="301">
        <f t="shared" si="1"/>
        <v>0.3201</v>
      </c>
      <c r="L21" s="136" t="str">
        <f>IF(G21="","",INDEX(ANALISIS!$K$5:$K$15,MATCH(G21,ANALISIS!$I$5:$I$15,0),1))</f>
        <v/>
      </c>
      <c r="M21" s="136">
        <f>IF(IF(Q20=1*RIGHT(ANALISIS!$D$15,2),Q20,"")="",IF(L21="",M20,L21+M20),"")</f>
        <v>3576234.43</v>
      </c>
      <c r="N21" s="306">
        <f t="shared" si="2"/>
        <v>0.21149999999999999</v>
      </c>
      <c r="O21" s="383"/>
      <c r="P21" s="386"/>
      <c r="Q21" s="431">
        <f t="shared" si="7"/>
        <v>3</v>
      </c>
      <c r="R21" s="430">
        <f t="shared" si="5"/>
        <v>0.3201</v>
      </c>
      <c r="S21" s="430">
        <f t="shared" si="6"/>
        <v>0.21149999999999999</v>
      </c>
    </row>
    <row r="22" spans="1:19" ht="15" customHeight="1">
      <c r="A22" s="113">
        <f t="shared" si="3"/>
        <v>13</v>
      </c>
      <c r="B22" s="112" t="s">
        <v>109</v>
      </c>
      <c r="C22" s="134" t="s">
        <v>221</v>
      </c>
      <c r="D22" s="135">
        <v>676153.62159999995</v>
      </c>
      <c r="E22" s="135">
        <f t="shared" si="4"/>
        <v>12115784.57</v>
      </c>
      <c r="F22" s="297">
        <f t="shared" si="0"/>
        <v>0.7167</v>
      </c>
      <c r="G22" s="339" t="str">
        <f>IF(C22=IFERROR(VLOOKUP(C22,ANALISIS!$S$5:$S$12,1,0),""),INDEX(ANALISIS!$I$5:$I$12,MATCH(C22,ANALISIS!$S$5:$S$12,0),1),"")</f>
        <v/>
      </c>
      <c r="H22" s="340" t="str">
        <f>_xlfn.IFNA(INDEX(ANALISIS!$J$5:$J$15,MATCH(G22,ANALISIS!$I$5:$I$15,0),1),"")</f>
        <v/>
      </c>
      <c r="I22" s="135" t="str">
        <f>IF(G22="","",INDEX(ANALISIS!$M$5:$M$15,MATCH(G22,ANALISIS!$I$5:$I$15,0),1))</f>
        <v/>
      </c>
      <c r="J22" s="135">
        <f>IF(IF(Q21=1*RIGHT(ANALISIS!$D$15,2),Q21,"")="",IF(I22="",J21,I22+J21),"")</f>
        <v>5412078.1699999999</v>
      </c>
      <c r="K22" s="301">
        <f t="shared" si="1"/>
        <v>0.3201</v>
      </c>
      <c r="L22" s="136" t="str">
        <f>IF(G22="","",INDEX(ANALISIS!$K$5:$K$15,MATCH(G22,ANALISIS!$I$5:$I$15,0),1))</f>
        <v/>
      </c>
      <c r="M22" s="136">
        <f>IF(IF(Q21=1*RIGHT(ANALISIS!$D$15,2),Q21,"")="",IF(L22="",M21,L22+M21),"")</f>
        <v>3576234.43</v>
      </c>
      <c r="N22" s="306">
        <f t="shared" si="2"/>
        <v>0.21149999999999999</v>
      </c>
      <c r="O22" s="383"/>
      <c r="P22" s="386"/>
      <c r="Q22" s="431">
        <f t="shared" si="7"/>
        <v>3</v>
      </c>
      <c r="R22" s="430">
        <f t="shared" si="5"/>
        <v>0.3201</v>
      </c>
      <c r="S22" s="430">
        <f t="shared" si="6"/>
        <v>0.21149999999999999</v>
      </c>
    </row>
    <row r="23" spans="1:19" ht="15" customHeight="1">
      <c r="A23" s="113">
        <f t="shared" si="3"/>
        <v>14</v>
      </c>
      <c r="B23" s="112" t="s">
        <v>108</v>
      </c>
      <c r="C23" s="134" t="s">
        <v>222</v>
      </c>
      <c r="D23" s="135">
        <v>642345.94051999995</v>
      </c>
      <c r="E23" s="135">
        <f t="shared" si="4"/>
        <v>12758130.51</v>
      </c>
      <c r="F23" s="297">
        <f t="shared" si="0"/>
        <v>0.75470000000000004</v>
      </c>
      <c r="G23" s="339" t="str">
        <f>IF(C23=IFERROR(VLOOKUP(C23,ANALISIS!$S$5:$S$12,1,0),""),INDEX(ANALISIS!$I$5:$I$12,MATCH(C23,ANALISIS!$S$5:$S$12,0),1),"")</f>
        <v/>
      </c>
      <c r="H23" s="340" t="str">
        <f>_xlfn.IFNA(INDEX(ANALISIS!$J$5:$J$15,MATCH(G23,ANALISIS!$I$5:$I$15,0),1),"")</f>
        <v/>
      </c>
      <c r="I23" s="135" t="str">
        <f>IF(G23="","",INDEX(ANALISIS!$M$5:$M$15,MATCH(G23,ANALISIS!$I$5:$I$15,0),1))</f>
        <v/>
      </c>
      <c r="J23" s="135">
        <f>IF(IF(Q22=1*RIGHT(ANALISIS!$D$15,2),Q22,"")="",IF(I23="",J22,I23+J22),"")</f>
        <v>5412078.1699999999</v>
      </c>
      <c r="K23" s="301">
        <f t="shared" si="1"/>
        <v>0.3201</v>
      </c>
      <c r="L23" s="136" t="str">
        <f>IF(G23="","",INDEX(ANALISIS!$K$5:$K$15,MATCH(G23,ANALISIS!$I$5:$I$15,0),1))</f>
        <v/>
      </c>
      <c r="M23" s="136">
        <f>IF(IF(Q22=1*RIGHT(ANALISIS!$D$15,2),Q22,"")="",IF(L23="",M22,L23+M22),"")</f>
        <v>3576234.43</v>
      </c>
      <c r="N23" s="306">
        <f t="shared" si="2"/>
        <v>0.21149999999999999</v>
      </c>
      <c r="O23" s="383"/>
      <c r="P23" s="386"/>
      <c r="Q23" s="431">
        <f t="shared" si="7"/>
        <v>3</v>
      </c>
      <c r="R23" s="430">
        <f t="shared" si="5"/>
        <v>0.3201</v>
      </c>
      <c r="S23" s="430">
        <f t="shared" si="6"/>
        <v>0.21149999999999999</v>
      </c>
    </row>
    <row r="24" spans="1:19" ht="15" customHeight="1">
      <c r="A24" s="113">
        <f t="shared" si="3"/>
        <v>15</v>
      </c>
      <c r="B24" s="112" t="s">
        <v>107</v>
      </c>
      <c r="C24" s="134" t="s">
        <v>223</v>
      </c>
      <c r="D24" s="135">
        <v>676153.62159999995</v>
      </c>
      <c r="E24" s="135">
        <f t="shared" si="4"/>
        <v>13434284.130000001</v>
      </c>
      <c r="F24" s="297">
        <f t="shared" si="0"/>
        <v>0.79469999999999996</v>
      </c>
      <c r="G24" s="339" t="str">
        <f>IF(C24=IFERROR(VLOOKUP(C24,ANALISIS!$S$5:$S$12,1,0),""),INDEX(ANALISIS!$I$5:$I$12,MATCH(C24,ANALISIS!$S$5:$S$12,0),1),"")</f>
        <v>CAO N° 4</v>
      </c>
      <c r="H24" s="340" t="str">
        <f>_xlfn.IFNA(INDEX(ANALISIS!$J$5:$J$15,MATCH(G24,ANALISIS!$I$5:$I$15,0),1),"")</f>
        <v>01-DIC-20 AL 31-MAR-21</v>
      </c>
      <c r="I24" s="135">
        <f>IF(G24="","",INDEX(ANALISIS!$M$5:$M$15,MATCH(G24,ANALISIS!$I$5:$I$15,0),1))</f>
        <v>1081522.6200000001</v>
      </c>
      <c r="J24" s="135">
        <f>IF(IF(Q23=1*RIGHT(ANALISIS!$D$15,2),Q23,"")="",IF(I24="",J23,I24+J23),"")</f>
        <v>6493600.79</v>
      </c>
      <c r="K24" s="301">
        <f t="shared" si="1"/>
        <v>0.3841</v>
      </c>
      <c r="L24" s="136">
        <f>IF(G24="","",INDEX(ANALISIS!$K$5:$K$15,MATCH(G24,ANALISIS!$I$5:$I$15,0),1))</f>
        <v>1254299.1200000001</v>
      </c>
      <c r="M24" s="136">
        <f>IF(IF(Q23=1*RIGHT(ANALISIS!$D$15,2),Q23,"")="",IF(L24="",M23,L24+M23),"")</f>
        <v>4830533.55</v>
      </c>
      <c r="N24" s="306">
        <f t="shared" si="2"/>
        <v>0.28570000000000001</v>
      </c>
      <c r="O24" s="383"/>
      <c r="P24" s="386"/>
      <c r="Q24" s="431">
        <f t="shared" si="7"/>
        <v>4</v>
      </c>
      <c r="R24" s="430">
        <f t="shared" si="5"/>
        <v>0.3841</v>
      </c>
      <c r="S24" s="430">
        <f t="shared" si="6"/>
        <v>0.28570000000000001</v>
      </c>
    </row>
    <row r="25" spans="1:19" ht="15" customHeight="1">
      <c r="A25" s="113">
        <f t="shared" si="3"/>
        <v>16</v>
      </c>
      <c r="B25" s="112" t="s">
        <v>106</v>
      </c>
      <c r="C25" s="134" t="s">
        <v>224</v>
      </c>
      <c r="D25" s="135">
        <v>338076.81079999998</v>
      </c>
      <c r="E25" s="135">
        <f t="shared" si="4"/>
        <v>13772360.939999999</v>
      </c>
      <c r="F25" s="297">
        <f t="shared" si="0"/>
        <v>0.81469999999999998</v>
      </c>
      <c r="G25" s="339" t="str">
        <f>IF(C25=IFERROR(VLOOKUP(C25,ANALISIS!$S$5:$S$12,1,0),""),INDEX(ANALISIS!$I$5:$I$12,MATCH(C25,ANALISIS!$S$5:$S$12,0),1),"")</f>
        <v/>
      </c>
      <c r="H25" s="340" t="str">
        <f>_xlfn.IFNA(INDEX(ANALISIS!$J$5:$J$15,MATCH(G25,ANALISIS!$I$5:$I$15,0),1),"")</f>
        <v/>
      </c>
      <c r="I25" s="135" t="str">
        <f>IF(G25="","",INDEX(ANALISIS!$M$5:$M$15,MATCH(G25,ANALISIS!$I$5:$I$15,0),1))</f>
        <v/>
      </c>
      <c r="J25" s="135">
        <f>IF(IF(Q24=1*RIGHT(ANALISIS!$D$15,2),Q24,"")="",IF(I25="",J24,I25+J24),"")</f>
        <v>6493600.79</v>
      </c>
      <c r="K25" s="301">
        <f t="shared" si="1"/>
        <v>0.3841</v>
      </c>
      <c r="L25" s="136" t="str">
        <f>IF(G25="","",INDEX(ANALISIS!$K$5:$K$15,MATCH(G25,ANALISIS!$I$5:$I$15,0),1))</f>
        <v/>
      </c>
      <c r="M25" s="136">
        <f>IF(IF(Q24=1*RIGHT(ANALISIS!$D$15,2),Q24,"")="",IF(L25="",M24,L25+M24),"")</f>
        <v>4830533.55</v>
      </c>
      <c r="N25" s="306">
        <f t="shared" si="2"/>
        <v>0.28570000000000001</v>
      </c>
      <c r="O25" s="383"/>
      <c r="P25" s="386"/>
      <c r="Q25" s="431">
        <f t="shared" si="7"/>
        <v>4</v>
      </c>
      <c r="R25" s="430">
        <f t="shared" si="5"/>
        <v>0.3841</v>
      </c>
      <c r="S25" s="430">
        <f t="shared" si="6"/>
        <v>0.28570000000000001</v>
      </c>
    </row>
    <row r="26" spans="1:19" ht="15" customHeight="1">
      <c r="A26" s="113">
        <f t="shared" si="3"/>
        <v>17</v>
      </c>
      <c r="B26" s="112" t="s">
        <v>105</v>
      </c>
      <c r="C26" s="134" t="s">
        <v>225</v>
      </c>
      <c r="D26" s="135">
        <v>422596.0135</v>
      </c>
      <c r="E26" s="135">
        <f t="shared" si="4"/>
        <v>14194956.949999999</v>
      </c>
      <c r="F26" s="297">
        <f t="shared" si="0"/>
        <v>0.8397</v>
      </c>
      <c r="G26" s="339" t="str">
        <f>IF(C26=IFERROR(VLOOKUP(C26,ANALISIS!$S$5:$S$12,1,0),""),INDEX(ANALISIS!$I$5:$I$12,MATCH(C26,ANALISIS!$S$5:$S$12,0),1),"")</f>
        <v/>
      </c>
      <c r="H26" s="340" t="str">
        <f>_xlfn.IFNA(INDEX(ANALISIS!$J$5:$J$15,MATCH(G26,ANALISIS!$I$5:$I$15,0),1),"")</f>
        <v/>
      </c>
      <c r="I26" s="135" t="str">
        <f>IF(G26="","",INDEX(ANALISIS!$M$5:$M$15,MATCH(G26,ANALISIS!$I$5:$I$15,0),1))</f>
        <v/>
      </c>
      <c r="J26" s="135">
        <f>IF(IF(Q25=1*RIGHT(ANALISIS!$D$15,2),Q25,"")="",IF(I26="",J25,I26+J25),"")</f>
        <v>6493600.79</v>
      </c>
      <c r="K26" s="301">
        <f t="shared" si="1"/>
        <v>0.3841</v>
      </c>
      <c r="L26" s="136" t="str">
        <f>IF(G26="","",INDEX(ANALISIS!$K$5:$K$15,MATCH(G26,ANALISIS!$I$5:$I$15,0),1))</f>
        <v/>
      </c>
      <c r="M26" s="136">
        <f>IF(IF(Q25=1*RIGHT(ANALISIS!$D$15,2),Q25,"")="",IF(L26="",M25,L26+M25),"")</f>
        <v>4830533.55</v>
      </c>
      <c r="N26" s="306">
        <f t="shared" si="2"/>
        <v>0.28570000000000001</v>
      </c>
      <c r="O26" s="383"/>
      <c r="P26" s="386"/>
      <c r="Q26" s="431">
        <f t="shared" si="7"/>
        <v>4</v>
      </c>
      <c r="R26" s="430">
        <f t="shared" si="5"/>
        <v>0.3841</v>
      </c>
      <c r="S26" s="430">
        <f t="shared" si="6"/>
        <v>0.28570000000000001</v>
      </c>
    </row>
    <row r="27" spans="1:19" ht="15" customHeight="1">
      <c r="A27" s="113">
        <f t="shared" si="3"/>
        <v>18</v>
      </c>
      <c r="B27" s="112" t="s">
        <v>104</v>
      </c>
      <c r="C27" s="134" t="s">
        <v>226</v>
      </c>
      <c r="D27" s="135">
        <v>371884.49187999999</v>
      </c>
      <c r="E27" s="135">
        <f t="shared" si="4"/>
        <v>14566841.439999999</v>
      </c>
      <c r="F27" s="297">
        <f t="shared" si="0"/>
        <v>0.86170000000000002</v>
      </c>
      <c r="G27" s="339" t="str">
        <f>IF(C27=IFERROR(VLOOKUP(C27,ANALISIS!$S$5:$S$12,1,0),""),INDEX(ANALISIS!$I$5:$I$12,MATCH(C27,ANALISIS!$S$5:$S$12,0),1),"")</f>
        <v>CAO N° 5</v>
      </c>
      <c r="H27" s="341" t="str">
        <f>_xlfn.IFNA(INDEX(ANALISIS!$J$5:$J$15,MATCH(G27,ANALISIS!$I$5:$I$15,0),1),"")</f>
        <v>01-ABR-21 AL 11-JUN-21</v>
      </c>
      <c r="I27" s="135">
        <f>IF(G27="","",INDEX(ANALISIS!$M$5:$M$15,MATCH(G27,ANALISIS!$I$5:$I$15,0),1))</f>
        <v>1238327.4099999999</v>
      </c>
      <c r="J27" s="135">
        <f>IF(IF(Q26=1*RIGHT(ANALISIS!$D$15,2),Q26,"")="",IF(I27="",J26,I27+J26),"")</f>
        <v>7731928.2000000002</v>
      </c>
      <c r="K27" s="301">
        <f t="shared" si="1"/>
        <v>0.45739999999999997</v>
      </c>
      <c r="L27" s="135">
        <f>IF(G27="","",INDEX(ANALISIS!$K$5:$K$15,MATCH(G27,ANALISIS!$I$5:$I$15,0),1))</f>
        <v>1436153.95</v>
      </c>
      <c r="M27" s="136">
        <f>IF(IF(Q26=1*RIGHT(ANALISIS!$D$15,2),Q26,"")="",IF(L27="",M26,L27+M26),"")</f>
        <v>6266687.5</v>
      </c>
      <c r="N27" s="306">
        <f t="shared" si="2"/>
        <v>0.37069999999999997</v>
      </c>
      <c r="O27" s="383"/>
      <c r="P27" s="386"/>
      <c r="Q27" s="431">
        <f t="shared" si="7"/>
        <v>5</v>
      </c>
      <c r="R27" s="430">
        <f t="shared" si="5"/>
        <v>0.45739999999999997</v>
      </c>
      <c r="S27" s="430">
        <f t="shared" si="6"/>
        <v>0.37069999999999997</v>
      </c>
    </row>
    <row r="28" spans="1:19" ht="15" customHeight="1">
      <c r="A28" s="113">
        <f t="shared" si="3"/>
        <v>19</v>
      </c>
      <c r="B28" s="112" t="s">
        <v>103</v>
      </c>
      <c r="C28" s="134" t="s">
        <v>227</v>
      </c>
      <c r="D28" s="135">
        <v>388788.33241999999</v>
      </c>
      <c r="E28" s="135">
        <f t="shared" si="4"/>
        <v>14955629.77</v>
      </c>
      <c r="F28" s="297">
        <f t="shared" si="0"/>
        <v>0.88470000000000004</v>
      </c>
      <c r="G28" s="339" t="str">
        <f>IF(C28=IFERROR(VLOOKUP(C28,ANALISIS!$S$5:$S$12,1,0),""),INDEX(ANALISIS!$I$5:$I$12,MATCH(C28,ANALISIS!$S$5:$S$12,0),1),"")</f>
        <v/>
      </c>
      <c r="H28" s="341" t="str">
        <f>_xlfn.IFNA(INDEX(ANALISIS!$J$5:$J$15,MATCH(G28,ANALISIS!$I$5:$I$15,0),1),"")</f>
        <v/>
      </c>
      <c r="I28" s="135" t="str">
        <f>IF(G28="","",INDEX(ANALISIS!$M$5:$M$15,MATCH(G28,ANALISIS!$I$5:$I$15,0),1))</f>
        <v/>
      </c>
      <c r="J28" s="135">
        <f>IF(IF(Q27=1*RIGHT(ANALISIS!$D$15,2),Q27,"")="",IF(I28="",J27,I28+J27),"")</f>
        <v>7731928.2000000002</v>
      </c>
      <c r="K28" s="301">
        <f t="shared" si="1"/>
        <v>0.45739999999999997</v>
      </c>
      <c r="L28" s="135" t="str">
        <f>IF(G28="","",INDEX(ANALISIS!$K$5:$K$15,MATCH(G28,ANALISIS!$I$5:$I$15,0),1))</f>
        <v/>
      </c>
      <c r="M28" s="136">
        <f>IF(IF(Q27=1*RIGHT(ANALISIS!$D$15,2),Q27,"")="",IF(L28="",M27,L28+M27),"")</f>
        <v>6266687.5</v>
      </c>
      <c r="N28" s="306">
        <f t="shared" si="2"/>
        <v>0.37069999999999997</v>
      </c>
      <c r="O28" s="383"/>
      <c r="P28" s="386"/>
      <c r="Q28" s="431">
        <f t="shared" si="7"/>
        <v>5</v>
      </c>
      <c r="R28" s="430">
        <f t="shared" si="5"/>
        <v>0.45739999999999997</v>
      </c>
      <c r="S28" s="430">
        <f t="shared" si="6"/>
        <v>0.37069999999999997</v>
      </c>
    </row>
    <row r="29" spans="1:19" ht="15" customHeight="1">
      <c r="A29" s="113">
        <f t="shared" si="3"/>
        <v>20</v>
      </c>
      <c r="B29" s="112" t="s">
        <v>102</v>
      </c>
      <c r="C29" s="134" t="s">
        <v>228</v>
      </c>
      <c r="D29" s="135">
        <v>405692.17296</v>
      </c>
      <c r="E29" s="135">
        <f t="shared" si="4"/>
        <v>15361321.939999999</v>
      </c>
      <c r="F29" s="297">
        <f t="shared" si="0"/>
        <v>0.90869999999999995</v>
      </c>
      <c r="G29" s="339" t="str">
        <f>IF(C29=IFERROR(VLOOKUP(C29,ANALISIS!$S$5:$S$12,1,0),""),INDEX(ANALISIS!$I$5:$I$12,MATCH(C29,ANALISIS!$S$5:$S$12,0),1),"")</f>
        <v>CAO N° 6</v>
      </c>
      <c r="H29" s="340" t="str">
        <f>_xlfn.IFNA(INDEX(ANALISIS!$J$5:$J$15,MATCH(G29,ANALISIS!$I$5:$I$15,0),1),"")</f>
        <v>12-JUN-21 AL 07-AGO-21</v>
      </c>
      <c r="I29" s="135">
        <f>IF(G29="","",INDEX(ANALISIS!$M$5:$M$15,MATCH(G29,ANALISIS!$I$5:$I$15,0),1))</f>
        <v>2763972.5</v>
      </c>
      <c r="J29" s="135">
        <f>IF(IF(Q28=1*RIGHT(ANALISIS!$D$15,2),Q28,"")="",IF(I29="",J28,I29+J28),"")</f>
        <v>10495900.699999999</v>
      </c>
      <c r="K29" s="301">
        <f t="shared" si="1"/>
        <v>0.62090000000000001</v>
      </c>
      <c r="L29" s="136">
        <f>IF(G29="","",INDEX(ANALISIS!$K$5:$K$15,MATCH(G29,ANALISIS!$I$5:$I$15,0),1))</f>
        <v>3205525.45</v>
      </c>
      <c r="M29" s="136">
        <f>IF(IF(Q28=1*RIGHT(ANALISIS!$D$15,2),Q28,"")="",IF(L29="",M28,L29+M28),"")</f>
        <v>9472212.9499999993</v>
      </c>
      <c r="N29" s="306">
        <f t="shared" si="2"/>
        <v>0.56030000000000002</v>
      </c>
      <c r="O29" s="383"/>
      <c r="P29" s="386"/>
      <c r="Q29" s="431">
        <f t="shared" si="7"/>
        <v>6</v>
      </c>
      <c r="R29" s="430">
        <f t="shared" si="5"/>
        <v>0.62090000000000001</v>
      </c>
      <c r="S29" s="430">
        <f t="shared" si="6"/>
        <v>0.56030000000000002</v>
      </c>
    </row>
    <row r="30" spans="1:19" ht="15" customHeight="1">
      <c r="A30" s="113">
        <f t="shared" si="3"/>
        <v>21</v>
      </c>
      <c r="B30" s="112" t="s">
        <v>101</v>
      </c>
      <c r="C30" s="134" t="s">
        <v>229</v>
      </c>
      <c r="D30" s="135">
        <v>275532.60080199997</v>
      </c>
      <c r="E30" s="135">
        <f t="shared" si="4"/>
        <v>15636854.539999999</v>
      </c>
      <c r="F30" s="297">
        <f t="shared" si="0"/>
        <v>0.92500000000000004</v>
      </c>
      <c r="G30" s="339" t="str">
        <f>IF(C30=IFERROR(VLOOKUP(C30,ANALISIS!$S$5:$S$12,1,0),""),INDEX(ANALISIS!$I$5:$I$12,MATCH(C30,ANALISIS!$S$5:$S$12,0),1),"")</f>
        <v>CAO N° 7</v>
      </c>
      <c r="H30" s="340" t="str">
        <f>_xlfn.IFNA(INDEX(ANALISIS!$J$5:$J$15,MATCH(G30,ANALISIS!$I$5:$I$15,0),1),"")</f>
        <v>8-AGO-21 AL 30-SEP-21</v>
      </c>
      <c r="I30" s="135">
        <f>IF(G30="","",INDEX(ANALISIS!$M$5:$M$15,MATCH(G30,ANALISIS!$I$5:$I$15,0),1))</f>
        <v>1295304.8700000001</v>
      </c>
      <c r="J30" s="135">
        <f>IF(IF(Q29=1*RIGHT(ANALISIS!$D$15,2),Q29,"")="",IF(I30="",J29,I30+J29),"")</f>
        <v>11791205.57</v>
      </c>
      <c r="K30" s="301">
        <f>IF(J30="",CLEAN(J30),ROUNDDOWN(J30/$E$34,4))</f>
        <v>0.69750000000000001</v>
      </c>
      <c r="L30" s="136">
        <f>IF(G30="","",INDEX(ANALISIS!$K$5:$K$15,MATCH(G30,ANALISIS!$I$5:$I$15,0),1))</f>
        <v>1502233.73</v>
      </c>
      <c r="M30" s="136">
        <f>IF(IF(Q29=1*RIGHT(ANALISIS!$D$15,2),Q29,"")="",IF(L30="",M29,L30+M29),"")</f>
        <v>10974446.68</v>
      </c>
      <c r="N30" s="306">
        <f>IF(M30="",CLEAN(M30),ROUNDDOWN(M30/$E$34,4))</f>
        <v>0.6492</v>
      </c>
      <c r="O30" s="383"/>
      <c r="P30" s="386"/>
      <c r="Q30" s="431">
        <f t="shared" si="7"/>
        <v>7</v>
      </c>
      <c r="R30" s="430">
        <f t="shared" si="5"/>
        <v>0.69750000000000001</v>
      </c>
      <c r="S30" s="430">
        <f t="shared" si="6"/>
        <v>0.6492</v>
      </c>
    </row>
    <row r="31" spans="1:19" ht="15" customHeight="1">
      <c r="A31" s="113">
        <f t="shared" si="3"/>
        <v>22</v>
      </c>
      <c r="B31" s="112" t="s">
        <v>100</v>
      </c>
      <c r="C31" s="134" t="s">
        <v>230</v>
      </c>
      <c r="D31" s="135">
        <v>185942.24593999999</v>
      </c>
      <c r="E31" s="135">
        <f t="shared" si="4"/>
        <v>15822796.789999999</v>
      </c>
      <c r="F31" s="297">
        <f t="shared" si="0"/>
        <v>0.93600000000000005</v>
      </c>
      <c r="G31" s="339" t="str">
        <f>IF(C31=IFERROR(VLOOKUP(C31,ANALISIS!$S$5:$S$12,1,0),""),INDEX(ANALISIS!$I$5:$I$12,MATCH(C31,ANALISIS!$S$5:$S$12,0),1),"")</f>
        <v/>
      </c>
      <c r="H31" s="340" t="str">
        <f>_xlfn.IFNA(INDEX(ANALISIS!$J$5:$J$15,MATCH(G31,ANALISIS!$I$5:$I$15,0),1),"")</f>
        <v/>
      </c>
      <c r="I31" s="135" t="str">
        <f>IF(G31="","",INDEX(ANALISIS!$M$5:$M$15,MATCH(G31,ANALISIS!$I$5:$I$15,0),1))</f>
        <v/>
      </c>
      <c r="J31" s="135" t="str">
        <f>IF(IF(Q30=1*RIGHT(ANALISIS!$D$15,2),Q30,"")="",IF(I31="",J30,I31+J30),"")</f>
        <v/>
      </c>
      <c r="K31" s="301" t="str">
        <f t="shared" ref="K31:K34" si="8">IF(J31="",CLEAN(J31),ROUNDDOWN(J31/$E$34,4))</f>
        <v/>
      </c>
      <c r="L31" s="136" t="str">
        <f>IF(G31="","",INDEX(ANALISIS!$K$5:$K$15,MATCH(G31,ANALISIS!$I$5:$I$15,0),1))</f>
        <v/>
      </c>
      <c r="M31" s="136" t="str">
        <f>IF(IF(Q30=1*RIGHT(ANALISIS!$D$15,2),Q30,"")="",IF(L31="",M30,L31+M30),"")</f>
        <v/>
      </c>
      <c r="N31" s="306" t="str">
        <f t="shared" ref="N31:N34" si="9">IF(M31="",CLEAN(M31),ROUNDDOWN(M31/$E$34,4))</f>
        <v/>
      </c>
      <c r="O31" s="383"/>
      <c r="P31" s="386"/>
      <c r="Q31" s="431">
        <f t="shared" si="7"/>
        <v>7</v>
      </c>
      <c r="R31" s="430" t="e">
        <f t="shared" si="5"/>
        <v>#N/A</v>
      </c>
      <c r="S31" s="430" t="e">
        <f t="shared" si="6"/>
        <v>#N/A</v>
      </c>
    </row>
    <row r="32" spans="1:19" ht="15" customHeight="1">
      <c r="A32" s="113">
        <f t="shared" si="3"/>
        <v>23</v>
      </c>
      <c r="B32" s="112" t="s">
        <v>99</v>
      </c>
      <c r="C32" s="134" t="s">
        <v>231</v>
      </c>
      <c r="D32" s="135">
        <v>371884.49187999999</v>
      </c>
      <c r="E32" s="135">
        <f t="shared" si="4"/>
        <v>16194681.279999999</v>
      </c>
      <c r="F32" s="297">
        <f t="shared" si="0"/>
        <v>0.95799999999999996</v>
      </c>
      <c r="G32" s="339" t="str">
        <f>IF(C32=IFERROR(VLOOKUP(C32,ANALISIS!$S$5:$S$12,1,0),""),INDEX(ANALISIS!$I$5:$I$12,MATCH(C32,ANALISIS!$S$5:$S$12,0),1),"")</f>
        <v/>
      </c>
      <c r="H32" s="340" t="str">
        <f>_xlfn.IFNA(INDEX(ANALISIS!$J$5:$J$15,MATCH(G32,ANALISIS!$I$5:$I$15,0),1),"")</f>
        <v/>
      </c>
      <c r="I32" s="135" t="str">
        <f>IF(G32="","",INDEX(ANALISIS!$M$5:$M$15,MATCH(G32,ANALISIS!$I$5:$I$15,0),1))</f>
        <v/>
      </c>
      <c r="J32" s="135" t="str">
        <f>IF(IF(Q31=1*RIGHT(ANALISIS!$D$15,2),Q31,"")="",IF(I32="",J31,I32+J31),"")</f>
        <v/>
      </c>
      <c r="K32" s="301" t="str">
        <f t="shared" si="8"/>
        <v/>
      </c>
      <c r="L32" s="136" t="str">
        <f>IF(G32="","",INDEX(ANALISIS!$K$5:$K$15,MATCH(G32,ANALISIS!$I$5:$I$15,0),1))</f>
        <v/>
      </c>
      <c r="M32" s="136" t="str">
        <f>IF(IF(Q31=1*RIGHT(ANALISIS!$D$15,2),Q31,"")="",IF(L32="",M31,L32+M31),"")</f>
        <v/>
      </c>
      <c r="N32" s="306" t="str">
        <f t="shared" si="9"/>
        <v/>
      </c>
      <c r="O32" s="383"/>
      <c r="P32" s="386"/>
      <c r="Q32" s="431">
        <f t="shared" si="7"/>
        <v>7</v>
      </c>
      <c r="R32" s="430" t="e">
        <f t="shared" si="5"/>
        <v>#N/A</v>
      </c>
      <c r="S32" s="430" t="e">
        <f t="shared" si="6"/>
        <v>#N/A</v>
      </c>
    </row>
    <row r="33" spans="1:19" ht="15" customHeight="1">
      <c r="A33" s="113">
        <f t="shared" si="3"/>
        <v>24</v>
      </c>
      <c r="B33" s="112" t="s">
        <v>98</v>
      </c>
      <c r="C33" s="134" t="s">
        <v>232</v>
      </c>
      <c r="D33" s="135">
        <v>387097.94836599997</v>
      </c>
      <c r="E33" s="135">
        <f t="shared" si="4"/>
        <v>16581779.23</v>
      </c>
      <c r="F33" s="297">
        <f t="shared" si="0"/>
        <v>0.98089999999999999</v>
      </c>
      <c r="G33" s="339" t="str">
        <f>IF(C33=IFERROR(VLOOKUP(C33,ANALISIS!$S$5:$S$12,1,0),""),INDEX(ANALISIS!$I$5:$I$12,MATCH(C33,ANALISIS!$S$5:$S$12,0),1),"")</f>
        <v/>
      </c>
      <c r="H33" s="340" t="str">
        <f>_xlfn.IFNA(INDEX(ANALISIS!$J$5:$J$15,MATCH(G33,ANALISIS!$I$5:$I$15,0),1),"")</f>
        <v/>
      </c>
      <c r="I33" s="135" t="str">
        <f>IF(G33="","",INDEX(ANALISIS!$M$5:$M$15,MATCH(G33,ANALISIS!$I$5:$I$15,0),1))</f>
        <v/>
      </c>
      <c r="J33" s="135" t="str">
        <f>IF(IF(Q32=1*RIGHT(ANALISIS!$D$15,2),Q32,"")="",IF(I33="",J32,I33+J32),"")</f>
        <v/>
      </c>
      <c r="K33" s="301" t="str">
        <f t="shared" si="8"/>
        <v/>
      </c>
      <c r="L33" s="136" t="str">
        <f>IF(G33="","",INDEX(ANALISIS!$K$5:$K$15,MATCH(G33,ANALISIS!$I$5:$I$15,0),1))</f>
        <v/>
      </c>
      <c r="M33" s="136" t="str">
        <f>IF(IF(Q32=1*RIGHT(ANALISIS!$D$15,2),Q32,"")="",IF(L33="",M32,L33+M32),"")</f>
        <v/>
      </c>
      <c r="N33" s="306" t="str">
        <f t="shared" si="9"/>
        <v/>
      </c>
      <c r="O33" s="383"/>
      <c r="P33" s="386"/>
      <c r="Q33" s="431">
        <f t="shared" si="7"/>
        <v>7</v>
      </c>
      <c r="R33" s="430" t="e">
        <f t="shared" si="5"/>
        <v>#N/A</v>
      </c>
      <c r="S33" s="430" t="e">
        <f t="shared" si="6"/>
        <v>#N/A</v>
      </c>
    </row>
    <row r="34" spans="1:19" ht="15" customHeight="1" thickBot="1">
      <c r="A34" s="111">
        <v>26</v>
      </c>
      <c r="B34" s="110" t="s">
        <v>97</v>
      </c>
      <c r="C34" s="138" t="s">
        <v>233</v>
      </c>
      <c r="D34" s="139">
        <v>322061.31</v>
      </c>
      <c r="E34" s="139">
        <f t="shared" si="4"/>
        <v>16903840.539999999</v>
      </c>
      <c r="F34" s="298">
        <f t="shared" si="0"/>
        <v>1</v>
      </c>
      <c r="G34" s="342" t="str">
        <f>IF(C34=IFERROR(VLOOKUP(C34,ANALISIS!$S$5:$S$12,1,0),""),INDEX(ANALISIS!$I$5:$I$12,MATCH(C34,ANALISIS!$S$5:$S$12,0),1),"")</f>
        <v/>
      </c>
      <c r="H34" s="343" t="str">
        <f>_xlfn.IFNA(INDEX(ANALISIS!$J$5:$J$15,MATCH(G34,ANALISIS!$I$5:$I$15,0),1),"")</f>
        <v/>
      </c>
      <c r="I34" s="139" t="str">
        <f>IF(G34="","",INDEX(ANALISIS!$M$5:$M$15,MATCH(G34,ANALISIS!$I$5:$I$15,0),1))</f>
        <v/>
      </c>
      <c r="J34" s="139" t="str">
        <f>IF(IF(Q33=1*RIGHT(ANALISIS!$D$15,2),Q33,"")="",IF(I34="",J33,I34+J33),"")</f>
        <v/>
      </c>
      <c r="K34" s="302" t="str">
        <f t="shared" si="8"/>
        <v/>
      </c>
      <c r="L34" s="140" t="str">
        <f>IF(G34="","",INDEX(ANALISIS!$K$5:$K$15,MATCH(G34,ANALISIS!$I$5:$I$15,0),1))</f>
        <v/>
      </c>
      <c r="M34" s="140" t="str">
        <f>IF(IF(Q33=1*RIGHT(ANALISIS!$D$15,2),Q33,"")="",IF(L34="",M33,L34+M33),"")</f>
        <v/>
      </c>
      <c r="N34" s="307" t="str">
        <f t="shared" si="9"/>
        <v/>
      </c>
      <c r="O34" s="383"/>
      <c r="P34" s="386"/>
      <c r="Q34" s="431">
        <f t="shared" si="7"/>
        <v>7</v>
      </c>
      <c r="R34" s="430" t="e">
        <f t="shared" si="5"/>
        <v>#N/A</v>
      </c>
      <c r="S34" s="430" t="e">
        <f t="shared" si="6"/>
        <v>#N/A</v>
      </c>
    </row>
    <row r="35" spans="1:19">
      <c r="P35" s="109"/>
    </row>
    <row r="36" spans="1:19" ht="12">
      <c r="G36" s="384"/>
      <c r="I36" s="756" t="s">
        <v>96</v>
      </c>
      <c r="J36" s="756"/>
      <c r="K36" s="336">
        <f>$F$34-MAX(K10:K34)</f>
        <v>0.30249999999999999</v>
      </c>
      <c r="L36" s="756" t="s">
        <v>95</v>
      </c>
      <c r="M36" s="756"/>
      <c r="N36" s="336">
        <f>$F$34-MAX(N10:N34)</f>
        <v>0.3508</v>
      </c>
      <c r="P36" s="386"/>
    </row>
  </sheetData>
  <mergeCells count="14">
    <mergeCell ref="Q8:S8"/>
    <mergeCell ref="L36:M36"/>
    <mergeCell ref="I36:J36"/>
    <mergeCell ref="A1:N1"/>
    <mergeCell ref="A2:N2"/>
    <mergeCell ref="A3:N3"/>
    <mergeCell ref="A6:N6"/>
    <mergeCell ref="A8:A9"/>
    <mergeCell ref="B8:B9"/>
    <mergeCell ref="C8:C9"/>
    <mergeCell ref="D8:F8"/>
    <mergeCell ref="L8:N8"/>
    <mergeCell ref="I8:K8"/>
    <mergeCell ref="A5:N5"/>
  </mergeCells>
  <printOptions horizontalCentered="1"/>
  <pageMargins left="0.70866141732283472" right="0.70866141732283472" top="0.74803149606299213" bottom="0.74803149606299213" header="0.31496062992125984" footer="0.31496062992125984"/>
  <pageSetup scale="70" fitToHeight="0" orientation="landscape" r:id="rId1"/>
  <ignoredErrors>
    <ignoredError sqref="Q11:Q34 R10:S34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pageSetUpPr fitToPage="1"/>
  </sheetPr>
  <dimension ref="A1:Q2"/>
  <sheetViews>
    <sheetView showGridLines="0" view="pageBreakPreview" zoomScale="110" zoomScaleNormal="70" zoomScaleSheetLayoutView="110" workbookViewId="0">
      <selection activeCell="A2" sqref="A2:Q2"/>
    </sheetView>
  </sheetViews>
  <sheetFormatPr baseColWidth="10" defaultColWidth="11.44140625" defaultRowHeight="14.4"/>
  <cols>
    <col min="1" max="16384" width="11.44140625" style="119"/>
  </cols>
  <sheetData>
    <row r="1" spans="1:17" ht="25.2">
      <c r="A1" s="768" t="s">
        <v>136</v>
      </c>
      <c r="B1" s="768"/>
      <c r="C1" s="768"/>
      <c r="D1" s="768"/>
      <c r="E1" s="768"/>
      <c r="F1" s="768"/>
      <c r="G1" s="768"/>
      <c r="H1" s="768"/>
      <c r="I1" s="768"/>
      <c r="J1" s="768"/>
      <c r="K1" s="768"/>
      <c r="L1" s="768"/>
      <c r="M1" s="768"/>
      <c r="N1" s="768"/>
      <c r="O1" s="768"/>
      <c r="P1" s="768"/>
      <c r="Q1" s="768"/>
    </row>
    <row r="2" spans="1:17" ht="16.5" customHeight="1">
      <c r="A2" s="769" t="str">
        <f>ANALISIS!A2</f>
        <v>PROYECTO:  MEJORAMIENTO CAMINO ROSARIO DEL INGRE - MACHICOCA - IVOCA (FASE I)</v>
      </c>
      <c r="B2" s="769"/>
      <c r="C2" s="769"/>
      <c r="D2" s="769"/>
      <c r="E2" s="769"/>
      <c r="F2" s="769"/>
      <c r="G2" s="769"/>
      <c r="H2" s="769"/>
      <c r="I2" s="769"/>
      <c r="J2" s="769"/>
      <c r="K2" s="769"/>
      <c r="L2" s="769"/>
      <c r="M2" s="769"/>
      <c r="N2" s="769"/>
      <c r="O2" s="769"/>
      <c r="P2" s="769"/>
      <c r="Q2" s="769"/>
    </row>
  </sheetData>
  <mergeCells count="2">
    <mergeCell ref="A1:Q1"/>
    <mergeCell ref="A2:Q2"/>
  </mergeCells>
  <printOptions horizontalCentered="1"/>
  <pageMargins left="0.19685039370078741" right="0.19685039370078741" top="0.59055118110236227" bottom="0.19685039370078741" header="0" footer="0"/>
  <pageSetup scale="71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>
    <tabColor theme="8" tint="-0.249977111117893"/>
    <pageSetUpPr fitToPage="1"/>
  </sheetPr>
  <dimension ref="A1:AG113"/>
  <sheetViews>
    <sheetView showGridLines="0" view="pageBreakPreview" zoomScale="120" zoomScaleNormal="90" zoomScaleSheetLayoutView="120" zoomScalePageLayoutView="60" workbookViewId="0">
      <selection sqref="A1:R1"/>
    </sheetView>
  </sheetViews>
  <sheetFormatPr baseColWidth="10" defaultColWidth="11.44140625" defaultRowHeight="13.2"/>
  <cols>
    <col min="1" max="1" width="5.44140625" style="175" customWidth="1"/>
    <col min="2" max="2" width="53.44140625" style="175" customWidth="1"/>
    <col min="3" max="3" width="6.109375" style="175" customWidth="1"/>
    <col min="4" max="4" width="10.5546875" style="175" customWidth="1"/>
    <col min="5" max="5" width="10.88671875" style="175" customWidth="1"/>
    <col min="6" max="6" width="14.33203125" style="175" customWidth="1"/>
    <col min="7" max="7" width="10" style="175" customWidth="1"/>
    <col min="8" max="8" width="11.109375" style="175" customWidth="1"/>
    <col min="9" max="9" width="13.5546875" style="175" customWidth="1"/>
    <col min="10" max="10" width="8.6640625" style="347" customWidth="1"/>
    <col min="11" max="11" width="10.6640625" style="175" customWidth="1"/>
    <col min="12" max="12" width="13.88671875" style="175" customWidth="1"/>
    <col min="13" max="13" width="11.33203125" style="175" customWidth="1"/>
    <col min="14" max="14" width="15.6640625" style="175" customWidth="1"/>
    <col min="15" max="15" width="12.5546875" style="175" customWidth="1"/>
    <col min="16" max="16" width="13.6640625" style="175" customWidth="1"/>
    <col min="17" max="17" width="10.5546875" style="175" customWidth="1"/>
    <col min="18" max="18" width="10.109375" style="175" customWidth="1"/>
    <col min="19" max="19" width="20" style="175" customWidth="1"/>
    <col min="20" max="20" width="20" style="176" customWidth="1"/>
    <col min="21" max="21" width="20.33203125" style="176" customWidth="1"/>
    <col min="22" max="22" width="16" style="175" customWidth="1"/>
    <col min="23" max="23" width="11.44140625" style="175"/>
    <col min="24" max="24" width="23.44140625" style="175" customWidth="1"/>
    <col min="25" max="25" width="16.88671875" style="175" customWidth="1"/>
    <col min="26" max="16384" width="11.44140625" style="175"/>
  </cols>
  <sheetData>
    <row r="1" spans="1:25" s="276" customFormat="1" ht="23.25" customHeight="1">
      <c r="A1" s="790" t="s">
        <v>198</v>
      </c>
      <c r="B1" s="791"/>
      <c r="C1" s="791"/>
      <c r="D1" s="791"/>
      <c r="E1" s="791"/>
      <c r="F1" s="791"/>
      <c r="G1" s="791"/>
      <c r="H1" s="791"/>
      <c r="I1" s="791"/>
      <c r="J1" s="791"/>
      <c r="K1" s="791"/>
      <c r="L1" s="791"/>
      <c r="M1" s="791"/>
      <c r="N1" s="791"/>
      <c r="O1" s="791"/>
      <c r="P1" s="791"/>
      <c r="Q1" s="791"/>
      <c r="R1" s="792"/>
      <c r="T1" s="277"/>
      <c r="U1" s="277"/>
    </row>
    <row r="2" spans="1:25" s="2" customFormat="1" ht="18.75" customHeight="1">
      <c r="A2" s="793" t="str">
        <f>ANALISIS!A2:F2</f>
        <v>PROYECTO:  MEJORAMIENTO CAMINO ROSARIO DEL INGRE - MACHICOCA - IVOCA (FASE I)</v>
      </c>
      <c r="B2" s="794"/>
      <c r="C2" s="794"/>
      <c r="D2" s="794"/>
      <c r="E2" s="794"/>
      <c r="F2" s="794"/>
      <c r="G2" s="794"/>
      <c r="H2" s="794"/>
      <c r="I2" s="794"/>
      <c r="J2" s="794"/>
      <c r="K2" s="794"/>
      <c r="L2" s="794"/>
      <c r="M2" s="794"/>
      <c r="N2" s="794"/>
      <c r="O2" s="794"/>
      <c r="P2" s="794"/>
      <c r="Q2" s="794"/>
      <c r="R2" s="795"/>
      <c r="T2" s="6"/>
      <c r="U2" s="6"/>
    </row>
    <row r="3" spans="1:25" s="266" customFormat="1" ht="18.75" customHeight="1">
      <c r="A3" s="796" t="s">
        <v>9</v>
      </c>
      <c r="B3" s="719"/>
      <c r="C3" s="797" t="s">
        <v>78</v>
      </c>
      <c r="D3" s="797"/>
      <c r="E3" s="797"/>
      <c r="F3" s="797"/>
      <c r="G3" s="797"/>
      <c r="H3" s="797"/>
      <c r="I3" s="797"/>
      <c r="J3" s="797"/>
      <c r="K3" s="797"/>
      <c r="L3" s="797"/>
      <c r="M3" s="797"/>
      <c r="N3" s="797"/>
      <c r="O3" s="797"/>
      <c r="P3" s="797"/>
      <c r="Q3" s="797"/>
      <c r="R3" s="798"/>
      <c r="T3" s="267"/>
      <c r="U3" s="267"/>
    </row>
    <row r="4" spans="1:25" s="266" customFormat="1" ht="17.25" customHeight="1">
      <c r="A4" s="796" t="s">
        <v>15</v>
      </c>
      <c r="B4" s="719"/>
      <c r="C4" s="799" t="s">
        <v>77</v>
      </c>
      <c r="D4" s="799"/>
      <c r="E4" s="799"/>
      <c r="F4" s="799"/>
      <c r="G4" s="799"/>
      <c r="H4" s="799"/>
      <c r="I4" s="799"/>
      <c r="J4" s="799"/>
      <c r="K4" s="799"/>
      <c r="L4" s="799"/>
      <c r="M4" s="799"/>
      <c r="N4" s="799"/>
      <c r="O4" s="799"/>
      <c r="P4" s="799"/>
      <c r="Q4" s="799"/>
      <c r="R4" s="800"/>
      <c r="T4" s="267"/>
      <c r="U4" s="267"/>
    </row>
    <row r="5" spans="1:25" s="266" customFormat="1" ht="13.8">
      <c r="A5" s="274"/>
      <c r="B5" s="273" t="s">
        <v>11</v>
      </c>
      <c r="C5" s="272"/>
      <c r="D5" s="706">
        <v>43759</v>
      </c>
      <c r="E5" s="706"/>
      <c r="F5" s="706"/>
      <c r="G5" s="706"/>
      <c r="H5" s="706"/>
      <c r="I5" s="706"/>
      <c r="J5" s="706"/>
      <c r="K5" s="706"/>
      <c r="L5" s="706"/>
      <c r="M5" s="706"/>
      <c r="N5" s="706"/>
      <c r="O5" s="706"/>
      <c r="P5" s="706"/>
      <c r="Q5" s="706"/>
      <c r="R5" s="801"/>
      <c r="T5" s="267"/>
      <c r="U5" s="267"/>
    </row>
    <row r="6" spans="1:25" s="266" customFormat="1" ht="13.8">
      <c r="A6" s="270"/>
      <c r="B6" s="269" t="s">
        <v>12</v>
      </c>
      <c r="C6" s="271"/>
      <c r="D6" s="710" t="s">
        <v>85</v>
      </c>
      <c r="E6" s="710"/>
      <c r="F6" s="710"/>
      <c r="G6" s="710"/>
      <c r="H6" s="710"/>
      <c r="I6" s="710"/>
      <c r="J6" s="710"/>
      <c r="K6" s="710"/>
      <c r="L6" s="710"/>
      <c r="M6" s="710"/>
      <c r="N6" s="710"/>
      <c r="O6" s="710"/>
      <c r="P6" s="710"/>
      <c r="Q6" s="710"/>
      <c r="R6" s="789"/>
      <c r="T6" s="267"/>
      <c r="U6" s="267"/>
    </row>
    <row r="7" spans="1:25" s="266" customFormat="1" ht="13.8">
      <c r="A7" s="270"/>
      <c r="B7" s="269" t="s">
        <v>13</v>
      </c>
      <c r="C7" s="271"/>
      <c r="D7" s="708" t="s">
        <v>86</v>
      </c>
      <c r="E7" s="708"/>
      <c r="F7" s="708"/>
      <c r="G7" s="708"/>
      <c r="H7" s="708"/>
      <c r="I7" s="708"/>
      <c r="J7" s="708"/>
      <c r="K7" s="708"/>
      <c r="L7" s="708"/>
      <c r="M7" s="708"/>
      <c r="N7" s="708"/>
      <c r="O7" s="708"/>
      <c r="P7" s="708"/>
      <c r="Q7" s="708"/>
      <c r="R7" s="802"/>
      <c r="T7" s="267"/>
      <c r="U7" s="267"/>
    </row>
    <row r="8" spans="1:25" s="266" customFormat="1" ht="13.8">
      <c r="A8" s="270"/>
      <c r="B8" s="269" t="s">
        <v>14</v>
      </c>
      <c r="C8" s="271"/>
      <c r="D8" s="710">
        <f>600+D5</f>
        <v>44359</v>
      </c>
      <c r="E8" s="710"/>
      <c r="F8" s="710"/>
      <c r="G8" s="710"/>
      <c r="H8" s="710"/>
      <c r="I8" s="710"/>
      <c r="J8" s="710"/>
      <c r="K8" s="710"/>
      <c r="L8" s="710"/>
      <c r="M8" s="710"/>
      <c r="N8" s="710"/>
      <c r="O8" s="710"/>
      <c r="P8" s="710"/>
      <c r="Q8" s="710"/>
      <c r="R8" s="789"/>
      <c r="T8" s="267"/>
      <c r="U8" s="267"/>
    </row>
    <row r="9" spans="1:25" s="266" customFormat="1" ht="13.8">
      <c r="A9" s="270"/>
      <c r="B9" s="269" t="s">
        <v>88</v>
      </c>
      <c r="C9" s="271"/>
      <c r="D9" s="710" t="s">
        <v>87</v>
      </c>
      <c r="E9" s="710"/>
      <c r="F9" s="710"/>
      <c r="G9" s="710"/>
      <c r="H9" s="710"/>
      <c r="I9" s="710"/>
      <c r="J9" s="710"/>
      <c r="K9" s="710"/>
      <c r="L9" s="710"/>
      <c r="M9" s="710"/>
      <c r="N9" s="710"/>
      <c r="O9" s="710"/>
      <c r="P9" s="710"/>
      <c r="Q9" s="710"/>
      <c r="R9" s="789"/>
      <c r="T9" s="267"/>
      <c r="U9" s="267"/>
    </row>
    <row r="10" spans="1:25" s="266" customFormat="1" ht="13.8">
      <c r="A10" s="270"/>
      <c r="B10" s="269" t="s">
        <v>79</v>
      </c>
      <c r="C10" s="128"/>
      <c r="D10" s="710">
        <v>44570</v>
      </c>
      <c r="E10" s="710"/>
      <c r="F10" s="710"/>
      <c r="G10" s="710"/>
      <c r="H10" s="710"/>
      <c r="I10" s="710"/>
      <c r="J10" s="710"/>
      <c r="K10" s="710"/>
      <c r="L10" s="710"/>
      <c r="M10" s="710"/>
      <c r="N10" s="710"/>
      <c r="O10" s="710"/>
      <c r="P10" s="710"/>
      <c r="Q10" s="710"/>
      <c r="R10" s="789"/>
      <c r="T10" s="267"/>
      <c r="U10" s="267"/>
    </row>
    <row r="11" spans="1:25" s="266" customFormat="1" ht="13.8">
      <c r="A11" s="275"/>
      <c r="B11" s="268" t="s">
        <v>196</v>
      </c>
      <c r="C11" s="4"/>
      <c r="D11" s="775">
        <v>0</v>
      </c>
      <c r="E11" s="775"/>
      <c r="F11" s="775"/>
      <c r="G11" s="775"/>
      <c r="H11" s="775"/>
      <c r="I11" s="775"/>
      <c r="J11" s="775"/>
      <c r="K11" s="775"/>
      <c r="L11" s="775"/>
      <c r="M11" s="775"/>
      <c r="N11" s="775"/>
      <c r="O11" s="775"/>
      <c r="P11" s="775"/>
      <c r="Q11" s="775"/>
      <c r="R11" s="776"/>
      <c r="T11" s="267"/>
      <c r="U11" s="267"/>
    </row>
    <row r="12" spans="1:25" s="260" customFormat="1" ht="20.25" customHeight="1">
      <c r="A12" s="777" t="s">
        <v>2</v>
      </c>
      <c r="B12" s="728" t="s">
        <v>0</v>
      </c>
      <c r="C12" s="779" t="s">
        <v>3</v>
      </c>
      <c r="D12" s="779"/>
      <c r="E12" s="779"/>
      <c r="F12" s="779"/>
      <c r="G12" s="780" t="s">
        <v>80</v>
      </c>
      <c r="H12" s="781"/>
      <c r="I12" s="781"/>
      <c r="J12" s="782"/>
      <c r="K12" s="779" t="s">
        <v>195</v>
      </c>
      <c r="L12" s="779"/>
      <c r="M12" s="783" t="s">
        <v>194</v>
      </c>
      <c r="N12" s="784"/>
      <c r="O12" s="779" t="s">
        <v>161</v>
      </c>
      <c r="P12" s="779"/>
      <c r="Q12" s="785" t="s">
        <v>193</v>
      </c>
      <c r="R12" s="786"/>
      <c r="T12" s="261"/>
      <c r="U12" s="261"/>
    </row>
    <row r="13" spans="1:25" s="260" customFormat="1" ht="12.75" customHeight="1">
      <c r="A13" s="777"/>
      <c r="B13" s="728"/>
      <c r="C13" s="779" t="s">
        <v>5</v>
      </c>
      <c r="D13" s="779"/>
      <c r="E13" s="728" t="s">
        <v>1</v>
      </c>
      <c r="F13" s="728" t="s">
        <v>6</v>
      </c>
      <c r="G13" s="773" t="s">
        <v>81</v>
      </c>
      <c r="H13" s="773" t="s">
        <v>82</v>
      </c>
      <c r="I13" s="773" t="s">
        <v>192</v>
      </c>
      <c r="J13" s="729" t="s">
        <v>4</v>
      </c>
      <c r="K13" s="728" t="s">
        <v>1</v>
      </c>
      <c r="L13" s="265" t="s">
        <v>189</v>
      </c>
      <c r="M13" s="728" t="s">
        <v>1</v>
      </c>
      <c r="N13" s="265" t="s">
        <v>189</v>
      </c>
      <c r="O13" s="728" t="s">
        <v>1</v>
      </c>
      <c r="P13" s="265" t="s">
        <v>189</v>
      </c>
      <c r="Q13" s="728" t="s">
        <v>191</v>
      </c>
      <c r="R13" s="787" t="s">
        <v>190</v>
      </c>
      <c r="T13" s="261"/>
      <c r="U13" s="261"/>
    </row>
    <row r="14" spans="1:25" s="260" customFormat="1" ht="33.75" customHeight="1">
      <c r="A14" s="778"/>
      <c r="B14" s="729"/>
      <c r="C14" s="264" t="s">
        <v>7</v>
      </c>
      <c r="D14" s="264" t="s">
        <v>8</v>
      </c>
      <c r="E14" s="729"/>
      <c r="F14" s="729"/>
      <c r="G14" s="774"/>
      <c r="H14" s="774"/>
      <c r="I14" s="774"/>
      <c r="J14" s="770"/>
      <c r="K14" s="729"/>
      <c r="L14" s="264" t="s">
        <v>8</v>
      </c>
      <c r="M14" s="729"/>
      <c r="N14" s="264" t="s">
        <v>8</v>
      </c>
      <c r="O14" s="729"/>
      <c r="P14" s="264" t="s">
        <v>8</v>
      </c>
      <c r="Q14" s="729"/>
      <c r="R14" s="788" t="s">
        <v>188</v>
      </c>
      <c r="S14" s="263"/>
      <c r="T14" s="262"/>
      <c r="U14" s="261"/>
    </row>
    <row r="15" spans="1:25" ht="13.8">
      <c r="A15" s="229"/>
      <c r="B15" s="228" t="s">
        <v>26</v>
      </c>
      <c r="C15" s="227"/>
      <c r="D15" s="259"/>
      <c r="E15" s="259"/>
      <c r="F15" s="258"/>
      <c r="G15" s="226"/>
      <c r="H15" s="226"/>
      <c r="I15" s="226"/>
      <c r="J15" s="224"/>
      <c r="K15" s="258"/>
      <c r="L15" s="221"/>
      <c r="M15" s="221"/>
      <c r="N15" s="221"/>
      <c r="O15" s="221"/>
      <c r="P15" s="221"/>
      <c r="Q15" s="221"/>
      <c r="R15" s="220"/>
    </row>
    <row r="16" spans="1:25" ht="13.8">
      <c r="A16" s="313">
        <v>1</v>
      </c>
      <c r="B16" s="241" t="s">
        <v>17</v>
      </c>
      <c r="C16" s="234" t="s">
        <v>18</v>
      </c>
      <c r="D16" s="233">
        <v>47860.38</v>
      </c>
      <c r="E16" s="233">
        <v>0.5</v>
      </c>
      <c r="F16" s="240">
        <f t="shared" ref="F16:F21" si="0">D16*E16</f>
        <v>23930.19</v>
      </c>
      <c r="G16" s="314">
        <v>0</v>
      </c>
      <c r="H16" s="315">
        <v>0.5</v>
      </c>
      <c r="I16" s="315">
        <f t="shared" ref="I16:I21" si="1">+H16*D16</f>
        <v>23930.19</v>
      </c>
      <c r="J16" s="330"/>
      <c r="K16" s="317"/>
      <c r="L16" s="318"/>
      <c r="M16" s="317">
        <v>0.5</v>
      </c>
      <c r="N16" s="318">
        <f t="shared" ref="N16:N21" si="2">ROUND(M16*D16,2)</f>
        <v>23930.19</v>
      </c>
      <c r="O16" s="317">
        <f>M16+K16</f>
        <v>0.5</v>
      </c>
      <c r="P16" s="318">
        <f>L16+N16</f>
        <v>23930.19</v>
      </c>
      <c r="Q16" s="317">
        <f t="shared" ref="Q16:Q21" si="3">IF(ISERROR(N16/I16),"",ROUND(N16/I16*100,2))</f>
        <v>100</v>
      </c>
      <c r="R16" s="319">
        <f t="shared" ref="R16:R21" si="4">IF(ISERROR(P16/I16),"",ROUND(P16/I16*100,2))</f>
        <v>100</v>
      </c>
      <c r="S16" s="181"/>
      <c r="T16" s="205"/>
      <c r="W16" s="292"/>
      <c r="X16" s="292"/>
      <c r="Y16" s="294"/>
    </row>
    <row r="17" spans="1:33" ht="13.8">
      <c r="A17" s="239">
        <f>1+A16</f>
        <v>2</v>
      </c>
      <c r="B17" s="219" t="s">
        <v>19</v>
      </c>
      <c r="C17" s="218" t="s">
        <v>20</v>
      </c>
      <c r="D17" s="217">
        <v>4767.6099999999997</v>
      </c>
      <c r="E17" s="217">
        <v>5.57</v>
      </c>
      <c r="F17" s="216">
        <f t="shared" si="0"/>
        <v>26555.59</v>
      </c>
      <c r="G17" s="320">
        <f>+H17-E17</f>
        <v>0</v>
      </c>
      <c r="H17" s="238">
        <v>5.57</v>
      </c>
      <c r="I17" s="238">
        <f t="shared" si="1"/>
        <v>26555.59</v>
      </c>
      <c r="J17" s="237"/>
      <c r="K17" s="320"/>
      <c r="L17" s="321"/>
      <c r="M17" s="235">
        <v>5.57</v>
      </c>
      <c r="N17" s="321">
        <f t="shared" si="2"/>
        <v>26555.59</v>
      </c>
      <c r="O17" s="235">
        <f t="shared" ref="O17:O21" si="5">M17+K17</f>
        <v>5.57</v>
      </c>
      <c r="P17" s="321">
        <f t="shared" ref="P17:P21" si="6">L17+N17</f>
        <v>26555.59</v>
      </c>
      <c r="Q17" s="235">
        <f t="shared" si="3"/>
        <v>100</v>
      </c>
      <c r="R17" s="322">
        <f t="shared" si="4"/>
        <v>100</v>
      </c>
      <c r="S17" s="181"/>
      <c r="T17" s="205"/>
      <c r="W17" s="292"/>
      <c r="X17" s="292"/>
      <c r="Y17" s="294"/>
    </row>
    <row r="18" spans="1:33" s="244" customFormat="1" ht="13.8">
      <c r="A18" s="239">
        <f>1+A17</f>
        <v>3</v>
      </c>
      <c r="B18" s="219" t="s">
        <v>21</v>
      </c>
      <c r="C18" s="218" t="s">
        <v>10</v>
      </c>
      <c r="D18" s="217">
        <v>15.64</v>
      </c>
      <c r="E18" s="217">
        <v>40377.64</v>
      </c>
      <c r="F18" s="216">
        <f t="shared" si="0"/>
        <v>631506.29</v>
      </c>
      <c r="G18" s="320">
        <f>+H18-E18</f>
        <v>57206.19</v>
      </c>
      <c r="H18" s="238">
        <v>97583.83</v>
      </c>
      <c r="I18" s="238">
        <f t="shared" si="1"/>
        <v>1526211.1</v>
      </c>
      <c r="J18" s="237"/>
      <c r="K18" s="235"/>
      <c r="L18" s="321"/>
      <c r="M18" s="235">
        <v>6630.3</v>
      </c>
      <c r="N18" s="321">
        <f t="shared" si="2"/>
        <v>103697.89</v>
      </c>
      <c r="O18" s="235">
        <f t="shared" si="5"/>
        <v>6630.3</v>
      </c>
      <c r="P18" s="321">
        <f t="shared" si="6"/>
        <v>103697.89</v>
      </c>
      <c r="Q18" s="235">
        <f t="shared" si="3"/>
        <v>6.79</v>
      </c>
      <c r="R18" s="322">
        <f t="shared" si="4"/>
        <v>6.79</v>
      </c>
      <c r="S18" s="246"/>
      <c r="T18" s="246"/>
      <c r="U18" s="246"/>
      <c r="V18" s="247"/>
      <c r="W18" s="293"/>
      <c r="X18" s="293"/>
      <c r="Y18" s="294"/>
      <c r="Z18" s="247"/>
      <c r="AA18" s="247"/>
      <c r="AB18" s="247"/>
      <c r="AC18" s="247"/>
      <c r="AD18" s="247"/>
      <c r="AE18" s="247"/>
      <c r="AF18" s="247"/>
      <c r="AG18" s="247"/>
    </row>
    <row r="19" spans="1:33" s="244" customFormat="1" ht="13.8">
      <c r="A19" s="239">
        <f>1+A18</f>
        <v>4</v>
      </c>
      <c r="B19" s="219" t="s">
        <v>22</v>
      </c>
      <c r="C19" s="218" t="s">
        <v>10</v>
      </c>
      <c r="D19" s="217">
        <v>18.52</v>
      </c>
      <c r="E19" s="217">
        <v>10580</v>
      </c>
      <c r="F19" s="216">
        <f t="shared" si="0"/>
        <v>195941.6</v>
      </c>
      <c r="G19" s="320">
        <f>+H19-E19</f>
        <v>17742.57</v>
      </c>
      <c r="H19" s="238">
        <v>28322.57</v>
      </c>
      <c r="I19" s="238">
        <f t="shared" si="1"/>
        <v>524534</v>
      </c>
      <c r="J19" s="237"/>
      <c r="K19" s="235"/>
      <c r="L19" s="321"/>
      <c r="M19" s="235">
        <v>5999.2</v>
      </c>
      <c r="N19" s="321">
        <f t="shared" si="2"/>
        <v>111105.18</v>
      </c>
      <c r="O19" s="235">
        <f t="shared" si="5"/>
        <v>5999.2</v>
      </c>
      <c r="P19" s="321">
        <f t="shared" si="6"/>
        <v>111105.18</v>
      </c>
      <c r="Q19" s="235">
        <f t="shared" si="3"/>
        <v>21.18</v>
      </c>
      <c r="R19" s="322">
        <f t="shared" si="4"/>
        <v>21.18</v>
      </c>
      <c r="S19" s="246"/>
      <c r="T19" s="246"/>
      <c r="U19" s="246"/>
      <c r="V19" s="247"/>
      <c r="W19" s="293"/>
      <c r="X19" s="293"/>
      <c r="Y19" s="294"/>
      <c r="Z19" s="247"/>
      <c r="AA19" s="247"/>
      <c r="AB19" s="247"/>
      <c r="AC19" s="247"/>
      <c r="AD19" s="247"/>
      <c r="AE19" s="247"/>
      <c r="AF19" s="247"/>
      <c r="AG19" s="247"/>
    </row>
    <row r="20" spans="1:33" ht="13.8">
      <c r="A20" s="239">
        <f>1+A19</f>
        <v>5</v>
      </c>
      <c r="B20" s="257" t="s">
        <v>23</v>
      </c>
      <c r="C20" s="218" t="s">
        <v>10</v>
      </c>
      <c r="D20" s="217">
        <v>57.61</v>
      </c>
      <c r="E20" s="217">
        <v>11436.25</v>
      </c>
      <c r="F20" s="216">
        <f t="shared" si="0"/>
        <v>658842.36</v>
      </c>
      <c r="G20" s="320">
        <f>+H20-E20</f>
        <v>-2950.25</v>
      </c>
      <c r="H20" s="238">
        <v>8486</v>
      </c>
      <c r="I20" s="238">
        <f t="shared" si="1"/>
        <v>488878.46</v>
      </c>
      <c r="J20" s="237"/>
      <c r="K20" s="321"/>
      <c r="L20" s="321"/>
      <c r="M20" s="321">
        <v>4380.2</v>
      </c>
      <c r="N20" s="321">
        <f t="shared" si="2"/>
        <v>252343.32</v>
      </c>
      <c r="O20" s="235">
        <f t="shared" si="5"/>
        <v>4380.2</v>
      </c>
      <c r="P20" s="321">
        <f t="shared" si="6"/>
        <v>252343.32</v>
      </c>
      <c r="Q20" s="235">
        <f t="shared" si="3"/>
        <v>51.62</v>
      </c>
      <c r="R20" s="322">
        <f t="shared" si="4"/>
        <v>51.62</v>
      </c>
      <c r="S20" s="181"/>
      <c r="T20" s="205"/>
      <c r="U20" s="205"/>
      <c r="V20" s="181"/>
      <c r="W20" s="292"/>
      <c r="X20" s="292"/>
      <c r="Y20" s="294"/>
      <c r="Z20" s="181"/>
      <c r="AA20" s="181"/>
      <c r="AB20" s="181"/>
      <c r="AC20" s="181"/>
      <c r="AD20" s="181"/>
      <c r="AE20" s="181"/>
      <c r="AF20" s="181"/>
      <c r="AG20" s="181"/>
    </row>
    <row r="21" spans="1:33" ht="13.8">
      <c r="A21" s="323">
        <f>1+A20</f>
        <v>6</v>
      </c>
      <c r="B21" s="256" t="s">
        <v>24</v>
      </c>
      <c r="C21" s="214" t="s">
        <v>25</v>
      </c>
      <c r="D21" s="213">
        <v>4.8600000000000003</v>
      </c>
      <c r="E21" s="213">
        <v>40296</v>
      </c>
      <c r="F21" s="230">
        <f t="shared" si="0"/>
        <v>195838.56</v>
      </c>
      <c r="G21" s="324">
        <f>+H21-E21</f>
        <v>35000</v>
      </c>
      <c r="H21" s="325">
        <v>75296</v>
      </c>
      <c r="I21" s="325">
        <f t="shared" si="1"/>
        <v>365938.56</v>
      </c>
      <c r="J21" s="326"/>
      <c r="K21" s="324"/>
      <c r="L21" s="327"/>
      <c r="M21" s="328">
        <v>31875</v>
      </c>
      <c r="N21" s="327">
        <f t="shared" si="2"/>
        <v>154912.5</v>
      </c>
      <c r="O21" s="328">
        <f t="shared" si="5"/>
        <v>31875</v>
      </c>
      <c r="P21" s="327">
        <f t="shared" si="6"/>
        <v>154912.5</v>
      </c>
      <c r="Q21" s="328">
        <f t="shared" si="3"/>
        <v>42.33</v>
      </c>
      <c r="R21" s="329">
        <f t="shared" si="4"/>
        <v>42.33</v>
      </c>
      <c r="S21" s="181"/>
      <c r="T21" s="205"/>
      <c r="U21" s="205"/>
      <c r="V21" s="185"/>
      <c r="W21" s="292"/>
      <c r="X21" s="292"/>
      <c r="Y21" s="294"/>
      <c r="Z21" s="181"/>
      <c r="AA21" s="181"/>
      <c r="AB21" s="181"/>
      <c r="AC21" s="181"/>
      <c r="AD21" s="181"/>
      <c r="AE21" s="181"/>
      <c r="AF21" s="181"/>
      <c r="AG21" s="181"/>
    </row>
    <row r="22" spans="1:33" ht="13.8">
      <c r="A22" s="229"/>
      <c r="B22" s="255" t="s">
        <v>27</v>
      </c>
      <c r="C22" s="227"/>
      <c r="D22" s="226"/>
      <c r="E22" s="226"/>
      <c r="F22" s="225"/>
      <c r="G22" s="226"/>
      <c r="H22" s="225"/>
      <c r="I22" s="225"/>
      <c r="J22" s="224"/>
      <c r="K22" s="222"/>
      <c r="L22" s="222"/>
      <c r="M22" s="221"/>
      <c r="N22" s="221"/>
      <c r="O22" s="221"/>
      <c r="P22" s="222"/>
      <c r="Q22" s="221"/>
      <c r="R22" s="220"/>
      <c r="S22" s="181"/>
      <c r="T22" s="205"/>
      <c r="U22" s="205"/>
      <c r="V22" s="183"/>
      <c r="W22" s="181"/>
      <c r="X22" s="181"/>
      <c r="Y22" s="181"/>
      <c r="Z22" s="181"/>
      <c r="AA22" s="181"/>
      <c r="AB22" s="181"/>
      <c r="AC22" s="181"/>
      <c r="AD22" s="181"/>
      <c r="AE22" s="181"/>
      <c r="AF22" s="181"/>
      <c r="AG22" s="181"/>
    </row>
    <row r="23" spans="1:33" ht="12.75" customHeight="1">
      <c r="A23" s="313">
        <v>7</v>
      </c>
      <c r="B23" s="241" t="s">
        <v>28</v>
      </c>
      <c r="C23" s="234" t="s">
        <v>10</v>
      </c>
      <c r="D23" s="233">
        <v>61.39</v>
      </c>
      <c r="E23" s="233">
        <v>23213.09</v>
      </c>
      <c r="F23" s="240">
        <f>D23*E23</f>
        <v>1425051.6</v>
      </c>
      <c r="G23" s="314">
        <f>+H23-E23</f>
        <v>0</v>
      </c>
      <c r="H23" s="315">
        <v>23213.09</v>
      </c>
      <c r="I23" s="315">
        <f>+H23*D23</f>
        <v>1425051.6</v>
      </c>
      <c r="J23" s="330"/>
      <c r="K23" s="318"/>
      <c r="L23" s="318"/>
      <c r="M23" s="317">
        <v>6375</v>
      </c>
      <c r="N23" s="317">
        <f t="shared" ref="N23:N24" si="7">ROUND(M23*D23,2)</f>
        <v>391361.25</v>
      </c>
      <c r="O23" s="317">
        <f t="shared" ref="O23:O25" si="8">M23+K23</f>
        <v>6375</v>
      </c>
      <c r="P23" s="318">
        <f t="shared" ref="P23:P25" si="9">L23+N23</f>
        <v>391361.25</v>
      </c>
      <c r="Q23" s="317">
        <f>IF(ISERROR(N23/I23),"",ROUND(N23/I23*100,2))</f>
        <v>27.46</v>
      </c>
      <c r="R23" s="319">
        <f>IF(ISERROR(P23/I23),"",ROUND(P23/I23*100,2))</f>
        <v>27.46</v>
      </c>
      <c r="S23" s="181"/>
      <c r="T23" s="205"/>
      <c r="U23" s="254"/>
      <c r="V23" s="181"/>
      <c r="W23" s="181"/>
      <c r="X23" s="181"/>
      <c r="Y23" s="181"/>
      <c r="Z23" s="181"/>
      <c r="AA23" s="181"/>
      <c r="AB23" s="181"/>
      <c r="AC23" s="181"/>
      <c r="AD23" s="181"/>
      <c r="AE23" s="181"/>
      <c r="AF23" s="181"/>
      <c r="AG23" s="181"/>
    </row>
    <row r="24" spans="1:33" ht="13.8">
      <c r="A24" s="239">
        <v>8</v>
      </c>
      <c r="B24" s="219" t="s">
        <v>29</v>
      </c>
      <c r="C24" s="218" t="s">
        <v>10</v>
      </c>
      <c r="D24" s="217">
        <v>18.55</v>
      </c>
      <c r="E24" s="217">
        <v>24098.81</v>
      </c>
      <c r="F24" s="216">
        <f>D24*E24</f>
        <v>447032.93</v>
      </c>
      <c r="G24" s="320">
        <f>+H24-E24</f>
        <v>0</v>
      </c>
      <c r="H24" s="238">
        <v>24098.81</v>
      </c>
      <c r="I24" s="238">
        <f>+H24*D24</f>
        <v>447032.93</v>
      </c>
      <c r="J24" s="237"/>
      <c r="K24" s="321"/>
      <c r="L24" s="321"/>
      <c r="M24" s="235">
        <v>6375</v>
      </c>
      <c r="N24" s="235">
        <f t="shared" si="7"/>
        <v>118256.25</v>
      </c>
      <c r="O24" s="235">
        <f t="shared" si="8"/>
        <v>6375</v>
      </c>
      <c r="P24" s="321">
        <f t="shared" si="9"/>
        <v>118256.25</v>
      </c>
      <c r="Q24" s="235">
        <f>IF(ISERROR(N24/I24),"",ROUND(N24/I24*100,2))</f>
        <v>26.45</v>
      </c>
      <c r="R24" s="322">
        <f>IF(ISERROR(P24/I24),"",ROUND(P24/I24*100,2))</f>
        <v>26.45</v>
      </c>
      <c r="S24" s="181"/>
      <c r="T24" s="205"/>
      <c r="U24" s="254"/>
      <c r="V24" s="181"/>
      <c r="W24" s="181"/>
      <c r="X24" s="181"/>
      <c r="Y24" s="181"/>
      <c r="Z24" s="181"/>
      <c r="AA24" s="181"/>
      <c r="AB24" s="181"/>
      <c r="AC24" s="181"/>
      <c r="AD24" s="181"/>
      <c r="AE24" s="181"/>
      <c r="AF24" s="181"/>
      <c r="AG24" s="181"/>
    </row>
    <row r="25" spans="1:33" ht="13.8">
      <c r="A25" s="323">
        <v>9</v>
      </c>
      <c r="B25" s="215" t="s">
        <v>30</v>
      </c>
      <c r="C25" s="214" t="s">
        <v>18</v>
      </c>
      <c r="D25" s="213">
        <v>44453.32</v>
      </c>
      <c r="E25" s="213">
        <v>0.4</v>
      </c>
      <c r="F25" s="212">
        <f>D25*E25</f>
        <v>17781.330000000002</v>
      </c>
      <c r="G25" s="324">
        <f>+H25-E25</f>
        <v>0</v>
      </c>
      <c r="H25" s="325">
        <v>0.4</v>
      </c>
      <c r="I25" s="325">
        <f>+H25*D25</f>
        <v>17781.330000000002</v>
      </c>
      <c r="J25" s="326"/>
      <c r="K25" s="327"/>
      <c r="L25" s="327"/>
      <c r="M25" s="327">
        <v>13335</v>
      </c>
      <c r="N25" s="328">
        <f>ROUND(M25*E25,2)</f>
        <v>5334</v>
      </c>
      <c r="O25" s="327">
        <f t="shared" si="8"/>
        <v>13335</v>
      </c>
      <c r="P25" s="327">
        <f t="shared" si="9"/>
        <v>5334</v>
      </c>
      <c r="Q25" s="328">
        <f>IF(ISERROR(N25/I25),"",ROUND(N25/I25*100,2))</f>
        <v>30</v>
      </c>
      <c r="R25" s="329">
        <f>IF(ISERROR(P25/I25),"",ROUND(P25/I25*100,2))</f>
        <v>30</v>
      </c>
      <c r="S25" s="181"/>
      <c r="T25" s="205"/>
      <c r="U25" s="205"/>
      <c r="V25" s="181"/>
      <c r="W25" s="181"/>
      <c r="X25" s="181"/>
      <c r="Y25" s="181"/>
      <c r="Z25" s="181"/>
      <c r="AA25" s="181"/>
      <c r="AB25" s="181"/>
      <c r="AC25" s="181"/>
      <c r="AD25" s="181"/>
      <c r="AE25" s="181"/>
      <c r="AF25" s="181"/>
      <c r="AG25" s="181"/>
    </row>
    <row r="26" spans="1:33" ht="13.5" customHeight="1">
      <c r="A26" s="229"/>
      <c r="B26" s="228" t="s">
        <v>31</v>
      </c>
      <c r="C26" s="227"/>
      <c r="D26" s="226"/>
      <c r="E26" s="226"/>
      <c r="F26" s="225"/>
      <c r="G26" s="226"/>
      <c r="H26" s="225"/>
      <c r="I26" s="225"/>
      <c r="J26" s="224"/>
      <c r="K26" s="223"/>
      <c r="L26" s="222"/>
      <c r="M26" s="221"/>
      <c r="N26" s="221"/>
      <c r="O26" s="222"/>
      <c r="P26" s="222"/>
      <c r="Q26" s="221"/>
      <c r="R26" s="220"/>
      <c r="S26" s="181"/>
      <c r="T26" s="205"/>
      <c r="U26" s="205"/>
      <c r="V26" s="181"/>
      <c r="W26" s="181"/>
      <c r="X26" s="181"/>
      <c r="Y26" s="181"/>
      <c r="Z26" s="181"/>
      <c r="AA26" s="181"/>
      <c r="AB26" s="181"/>
      <c r="AC26" s="181"/>
      <c r="AD26" s="181"/>
      <c r="AE26" s="181"/>
      <c r="AF26" s="181"/>
      <c r="AG26" s="181"/>
    </row>
    <row r="27" spans="1:33" ht="13.8">
      <c r="A27" s="313">
        <v>10</v>
      </c>
      <c r="B27" s="241" t="s">
        <v>32</v>
      </c>
      <c r="C27" s="234" t="s">
        <v>18</v>
      </c>
      <c r="D27" s="233">
        <v>3848.37</v>
      </c>
      <c r="E27" s="233">
        <v>0.2</v>
      </c>
      <c r="F27" s="240">
        <f t="shared" ref="F27:F40" si="10">D27*E27</f>
        <v>769.67</v>
      </c>
      <c r="G27" s="314">
        <f t="shared" ref="G27:G40" si="11">+H27-E27</f>
        <v>0</v>
      </c>
      <c r="H27" s="315">
        <v>0.2</v>
      </c>
      <c r="I27" s="315">
        <f t="shared" ref="I27:I40" si="12">+H27*D27</f>
        <v>769.67</v>
      </c>
      <c r="J27" s="330"/>
      <c r="K27" s="315"/>
      <c r="L27" s="318"/>
      <c r="M27" s="317">
        <v>3848.37</v>
      </c>
      <c r="N27" s="317">
        <f>ROUND(M27*E27,2)</f>
        <v>769.67</v>
      </c>
      <c r="O27" s="318">
        <f t="shared" ref="O27:O40" si="13">M27+K27</f>
        <v>3848.37</v>
      </c>
      <c r="P27" s="318">
        <f t="shared" ref="P27:P40" si="14">L27+N27</f>
        <v>769.67</v>
      </c>
      <c r="Q27" s="317">
        <f t="shared" ref="Q27:Q40" si="15">IF(ISERROR(N27/I27),"",ROUND(N27/I27*100,2))</f>
        <v>100</v>
      </c>
      <c r="R27" s="319">
        <f t="shared" ref="R27:R40" si="16">IF(ISERROR(P27/I27),"",ROUND(P27/I27*100,2))</f>
        <v>100</v>
      </c>
      <c r="S27" s="205"/>
      <c r="T27" s="205"/>
      <c r="U27" s="205"/>
      <c r="V27" s="181"/>
      <c r="W27" s="181"/>
      <c r="X27" s="181"/>
      <c r="Y27" s="181"/>
      <c r="Z27" s="181"/>
      <c r="AA27" s="181"/>
      <c r="AB27" s="181"/>
      <c r="AC27" s="181"/>
      <c r="AD27" s="181"/>
      <c r="AE27" s="181"/>
      <c r="AF27" s="181"/>
      <c r="AG27" s="181"/>
    </row>
    <row r="28" spans="1:33" s="244" customFormat="1" ht="13.8">
      <c r="A28" s="239">
        <f t="shared" ref="A28:A40" si="17">1+A27</f>
        <v>11</v>
      </c>
      <c r="B28" s="219" t="s">
        <v>33</v>
      </c>
      <c r="C28" s="218" t="s">
        <v>10</v>
      </c>
      <c r="D28" s="217">
        <v>27.03</v>
      </c>
      <c r="E28" s="217">
        <v>7899.85</v>
      </c>
      <c r="F28" s="216">
        <f t="shared" si="10"/>
        <v>213532.95</v>
      </c>
      <c r="G28" s="320">
        <f t="shared" si="11"/>
        <v>0</v>
      </c>
      <c r="H28" s="238">
        <v>7899.85</v>
      </c>
      <c r="I28" s="238">
        <f t="shared" si="12"/>
        <v>213532.95</v>
      </c>
      <c r="J28" s="237"/>
      <c r="K28" s="238"/>
      <c r="L28" s="321"/>
      <c r="M28" s="235">
        <v>328.12</v>
      </c>
      <c r="N28" s="235">
        <f t="shared" ref="N28:N40" si="18">ROUND(M28*D28,2)</f>
        <v>8869.08</v>
      </c>
      <c r="O28" s="321">
        <f t="shared" si="13"/>
        <v>328.12</v>
      </c>
      <c r="P28" s="321">
        <f t="shared" si="14"/>
        <v>8869.08</v>
      </c>
      <c r="Q28" s="235">
        <f t="shared" si="15"/>
        <v>4.1500000000000004</v>
      </c>
      <c r="R28" s="322">
        <f t="shared" si="16"/>
        <v>4.1500000000000004</v>
      </c>
      <c r="S28" s="246"/>
      <c r="T28" s="246"/>
      <c r="U28" s="245"/>
      <c r="V28" s="247"/>
    </row>
    <row r="29" spans="1:33" s="244" customFormat="1" ht="15.75" customHeight="1">
      <c r="A29" s="239">
        <f t="shared" si="17"/>
        <v>12</v>
      </c>
      <c r="B29" s="219" t="s">
        <v>34</v>
      </c>
      <c r="C29" s="218" t="s">
        <v>10</v>
      </c>
      <c r="D29" s="217">
        <v>652.63</v>
      </c>
      <c r="E29" s="217">
        <v>1522.75</v>
      </c>
      <c r="F29" s="216">
        <f t="shared" si="10"/>
        <v>993792.33</v>
      </c>
      <c r="G29" s="320">
        <f t="shared" si="11"/>
        <v>3076.2</v>
      </c>
      <c r="H29" s="238">
        <v>4598.95</v>
      </c>
      <c r="I29" s="238">
        <f t="shared" si="12"/>
        <v>3001412.74</v>
      </c>
      <c r="J29" s="237"/>
      <c r="K29" s="238"/>
      <c r="L29" s="321"/>
      <c r="M29" s="235">
        <v>269.23</v>
      </c>
      <c r="N29" s="235">
        <f t="shared" si="18"/>
        <v>175707.57</v>
      </c>
      <c r="O29" s="321">
        <f t="shared" si="13"/>
        <v>269.23</v>
      </c>
      <c r="P29" s="321">
        <f t="shared" si="14"/>
        <v>175707.57</v>
      </c>
      <c r="Q29" s="235">
        <f t="shared" si="15"/>
        <v>5.85</v>
      </c>
      <c r="R29" s="322">
        <f t="shared" si="16"/>
        <v>5.85</v>
      </c>
      <c r="S29" s="246"/>
      <c r="T29" s="246"/>
      <c r="U29" s="245"/>
      <c r="V29" s="247"/>
    </row>
    <row r="30" spans="1:33" s="249" customFormat="1" ht="13.8">
      <c r="A30" s="239">
        <f t="shared" si="17"/>
        <v>13</v>
      </c>
      <c r="B30" s="219" t="s">
        <v>35</v>
      </c>
      <c r="C30" s="218" t="s">
        <v>10</v>
      </c>
      <c r="D30" s="217">
        <v>1801.53</v>
      </c>
      <c r="E30" s="217">
        <v>837.96</v>
      </c>
      <c r="F30" s="216">
        <f t="shared" si="10"/>
        <v>1509610.08</v>
      </c>
      <c r="G30" s="320">
        <f t="shared" si="11"/>
        <v>-236.8</v>
      </c>
      <c r="H30" s="238">
        <v>601.16</v>
      </c>
      <c r="I30" s="238">
        <f t="shared" si="12"/>
        <v>1083007.77</v>
      </c>
      <c r="J30" s="237"/>
      <c r="K30" s="238"/>
      <c r="L30" s="321"/>
      <c r="M30" s="235"/>
      <c r="N30" s="235">
        <f t="shared" si="18"/>
        <v>0</v>
      </c>
      <c r="O30" s="321">
        <f t="shared" si="13"/>
        <v>0</v>
      </c>
      <c r="P30" s="321">
        <f t="shared" si="14"/>
        <v>0</v>
      </c>
      <c r="Q30" s="235">
        <f t="shared" si="15"/>
        <v>0</v>
      </c>
      <c r="R30" s="322">
        <f t="shared" si="16"/>
        <v>0</v>
      </c>
      <c r="S30" s="252"/>
      <c r="T30" s="252"/>
      <c r="U30" s="251"/>
      <c r="V30" s="250"/>
    </row>
    <row r="31" spans="1:33" s="249" customFormat="1" ht="13.8">
      <c r="A31" s="239">
        <f t="shared" si="17"/>
        <v>14</v>
      </c>
      <c r="B31" s="219" t="s">
        <v>36</v>
      </c>
      <c r="C31" s="218" t="s">
        <v>46</v>
      </c>
      <c r="D31" s="217">
        <v>15.35</v>
      </c>
      <c r="E31" s="217">
        <v>108768.82</v>
      </c>
      <c r="F31" s="216">
        <f t="shared" si="10"/>
        <v>1669601.39</v>
      </c>
      <c r="G31" s="320">
        <f t="shared" si="11"/>
        <v>0</v>
      </c>
      <c r="H31" s="238">
        <v>108768.82</v>
      </c>
      <c r="I31" s="238">
        <f t="shared" si="12"/>
        <v>1669601.39</v>
      </c>
      <c r="J31" s="237"/>
      <c r="K31" s="238"/>
      <c r="L31" s="321"/>
      <c r="M31" s="235"/>
      <c r="N31" s="235">
        <f t="shared" si="18"/>
        <v>0</v>
      </c>
      <c r="O31" s="321">
        <f t="shared" si="13"/>
        <v>0</v>
      </c>
      <c r="P31" s="321">
        <f t="shared" si="14"/>
        <v>0</v>
      </c>
      <c r="Q31" s="235">
        <f t="shared" si="15"/>
        <v>0</v>
      </c>
      <c r="R31" s="322">
        <f t="shared" si="16"/>
        <v>0</v>
      </c>
      <c r="S31" s="252"/>
      <c r="T31" s="252"/>
      <c r="U31" s="251"/>
      <c r="V31" s="250"/>
    </row>
    <row r="32" spans="1:33" s="249" customFormat="1" ht="13.8">
      <c r="A32" s="239">
        <f t="shared" si="17"/>
        <v>15</v>
      </c>
      <c r="B32" s="219" t="s">
        <v>37</v>
      </c>
      <c r="C32" s="218" t="s">
        <v>10</v>
      </c>
      <c r="D32" s="217">
        <v>79.53</v>
      </c>
      <c r="E32" s="217">
        <v>74.010000000000005</v>
      </c>
      <c r="F32" s="216">
        <f t="shared" si="10"/>
        <v>5886.02</v>
      </c>
      <c r="G32" s="320">
        <f t="shared" si="11"/>
        <v>-34.26</v>
      </c>
      <c r="H32" s="238">
        <v>39.75</v>
      </c>
      <c r="I32" s="238">
        <f t="shared" si="12"/>
        <v>3161.32</v>
      </c>
      <c r="J32" s="237"/>
      <c r="K32" s="238"/>
      <c r="L32" s="321"/>
      <c r="M32" s="235"/>
      <c r="N32" s="235">
        <f t="shared" si="18"/>
        <v>0</v>
      </c>
      <c r="O32" s="321">
        <f t="shared" si="13"/>
        <v>0</v>
      </c>
      <c r="P32" s="321">
        <f t="shared" si="14"/>
        <v>0</v>
      </c>
      <c r="Q32" s="235">
        <f t="shared" si="15"/>
        <v>0</v>
      </c>
      <c r="R32" s="322">
        <f t="shared" si="16"/>
        <v>0</v>
      </c>
      <c r="S32" s="252"/>
      <c r="T32" s="252"/>
      <c r="U32" s="251"/>
      <c r="V32" s="250"/>
    </row>
    <row r="33" spans="1:22" s="249" customFormat="1" ht="13.8">
      <c r="A33" s="239">
        <f t="shared" si="17"/>
        <v>16</v>
      </c>
      <c r="B33" s="219" t="s">
        <v>38</v>
      </c>
      <c r="C33" s="218" t="s">
        <v>10</v>
      </c>
      <c r="D33" s="217">
        <v>59.3</v>
      </c>
      <c r="E33" s="217">
        <v>30077.59</v>
      </c>
      <c r="F33" s="216">
        <f t="shared" si="10"/>
        <v>1783601.09</v>
      </c>
      <c r="G33" s="320">
        <f t="shared" si="11"/>
        <v>-24444.22</v>
      </c>
      <c r="H33" s="238">
        <v>5633.37</v>
      </c>
      <c r="I33" s="238">
        <f t="shared" si="12"/>
        <v>334058.84000000003</v>
      </c>
      <c r="J33" s="237"/>
      <c r="K33" s="238"/>
      <c r="L33" s="321"/>
      <c r="M33" s="235">
        <v>91.87</v>
      </c>
      <c r="N33" s="235">
        <f t="shared" si="18"/>
        <v>5447.89</v>
      </c>
      <c r="O33" s="321">
        <f t="shared" si="13"/>
        <v>91.87</v>
      </c>
      <c r="P33" s="321">
        <f t="shared" si="14"/>
        <v>5447.89</v>
      </c>
      <c r="Q33" s="235">
        <f t="shared" si="15"/>
        <v>1.63</v>
      </c>
      <c r="R33" s="322">
        <f t="shared" si="16"/>
        <v>1.63</v>
      </c>
      <c r="S33" s="252"/>
      <c r="T33" s="252"/>
      <c r="U33" s="251"/>
      <c r="V33" s="250"/>
    </row>
    <row r="34" spans="1:22" s="249" customFormat="1" ht="13.8">
      <c r="A34" s="239">
        <f t="shared" si="17"/>
        <v>17</v>
      </c>
      <c r="B34" s="219" t="s">
        <v>39</v>
      </c>
      <c r="C34" s="218" t="s">
        <v>25</v>
      </c>
      <c r="D34" s="217">
        <v>213.4</v>
      </c>
      <c r="E34" s="217">
        <v>384.62</v>
      </c>
      <c r="F34" s="216">
        <f t="shared" si="10"/>
        <v>82077.91</v>
      </c>
      <c r="G34" s="320">
        <f t="shared" si="11"/>
        <v>0</v>
      </c>
      <c r="H34" s="238">
        <v>384.62</v>
      </c>
      <c r="I34" s="238">
        <f t="shared" si="12"/>
        <v>82077.91</v>
      </c>
      <c r="J34" s="237"/>
      <c r="K34" s="320"/>
      <c r="L34" s="321"/>
      <c r="M34" s="235"/>
      <c r="N34" s="235">
        <f t="shared" si="18"/>
        <v>0</v>
      </c>
      <c r="O34" s="321">
        <f t="shared" si="13"/>
        <v>0</v>
      </c>
      <c r="P34" s="321">
        <f t="shared" si="14"/>
        <v>0</v>
      </c>
      <c r="Q34" s="235">
        <f t="shared" si="15"/>
        <v>0</v>
      </c>
      <c r="R34" s="322">
        <f t="shared" si="16"/>
        <v>0</v>
      </c>
      <c r="S34" s="252"/>
      <c r="T34" s="252"/>
      <c r="U34" s="251"/>
      <c r="V34" s="250"/>
    </row>
    <row r="35" spans="1:22" ht="13.8">
      <c r="A35" s="239">
        <f t="shared" si="17"/>
        <v>18</v>
      </c>
      <c r="B35" s="219" t="s">
        <v>40</v>
      </c>
      <c r="C35" s="218" t="s">
        <v>25</v>
      </c>
      <c r="D35" s="217">
        <v>127.61</v>
      </c>
      <c r="E35" s="217">
        <v>795</v>
      </c>
      <c r="F35" s="216">
        <f t="shared" si="10"/>
        <v>101449.95</v>
      </c>
      <c r="G35" s="320">
        <f t="shared" si="11"/>
        <v>0</v>
      </c>
      <c r="H35" s="238">
        <v>795</v>
      </c>
      <c r="I35" s="238">
        <f t="shared" si="12"/>
        <v>101449.95</v>
      </c>
      <c r="J35" s="237"/>
      <c r="K35" s="236"/>
      <c r="L35" s="321"/>
      <c r="M35" s="235"/>
      <c r="N35" s="235">
        <f t="shared" si="18"/>
        <v>0</v>
      </c>
      <c r="O35" s="235">
        <f t="shared" si="13"/>
        <v>0</v>
      </c>
      <c r="P35" s="321">
        <f t="shared" si="14"/>
        <v>0</v>
      </c>
      <c r="Q35" s="235">
        <f t="shared" si="15"/>
        <v>0</v>
      </c>
      <c r="R35" s="322">
        <f t="shared" si="16"/>
        <v>0</v>
      </c>
      <c r="S35" s="248"/>
      <c r="T35" s="205"/>
      <c r="V35" s="181"/>
    </row>
    <row r="36" spans="1:22" ht="13.8">
      <c r="A36" s="239">
        <f t="shared" si="17"/>
        <v>19</v>
      </c>
      <c r="B36" s="219" t="s">
        <v>41</v>
      </c>
      <c r="C36" s="218" t="s">
        <v>10</v>
      </c>
      <c r="D36" s="217">
        <v>474.36</v>
      </c>
      <c r="E36" s="217">
        <v>1717</v>
      </c>
      <c r="F36" s="216">
        <f t="shared" si="10"/>
        <v>814476.12</v>
      </c>
      <c r="G36" s="320">
        <f t="shared" si="11"/>
        <v>-717</v>
      </c>
      <c r="H36" s="238">
        <v>1000</v>
      </c>
      <c r="I36" s="238">
        <f t="shared" si="12"/>
        <v>474360</v>
      </c>
      <c r="J36" s="237"/>
      <c r="K36" s="238"/>
      <c r="L36" s="321"/>
      <c r="M36" s="235">
        <v>86</v>
      </c>
      <c r="N36" s="235">
        <f t="shared" si="18"/>
        <v>40794.959999999999</v>
      </c>
      <c r="O36" s="235">
        <f t="shared" si="13"/>
        <v>86</v>
      </c>
      <c r="P36" s="321">
        <f t="shared" si="14"/>
        <v>40794.959999999999</v>
      </c>
      <c r="Q36" s="235">
        <f t="shared" si="15"/>
        <v>8.6</v>
      </c>
      <c r="R36" s="322">
        <f t="shared" si="16"/>
        <v>8.6</v>
      </c>
      <c r="S36" s="248"/>
      <c r="T36" s="205"/>
      <c r="V36" s="181"/>
    </row>
    <row r="37" spans="1:22" s="249" customFormat="1" ht="13.8">
      <c r="A37" s="239">
        <f t="shared" si="17"/>
        <v>20</v>
      </c>
      <c r="B37" s="219" t="s">
        <v>42</v>
      </c>
      <c r="C37" s="218" t="s">
        <v>47</v>
      </c>
      <c r="D37" s="217">
        <v>111.72</v>
      </c>
      <c r="E37" s="217">
        <v>18000</v>
      </c>
      <c r="F37" s="216">
        <f t="shared" si="10"/>
        <v>2010960</v>
      </c>
      <c r="G37" s="320">
        <f t="shared" si="11"/>
        <v>-10989.12</v>
      </c>
      <c r="H37" s="345">
        <v>7010.8841000000002</v>
      </c>
      <c r="I37" s="238">
        <f t="shared" si="12"/>
        <v>783255.97</v>
      </c>
      <c r="J37" s="237"/>
      <c r="K37" s="236"/>
      <c r="L37" s="321"/>
      <c r="M37" s="235"/>
      <c r="N37" s="235">
        <f t="shared" si="18"/>
        <v>0</v>
      </c>
      <c r="O37" s="235">
        <f t="shared" si="13"/>
        <v>0</v>
      </c>
      <c r="P37" s="321">
        <f t="shared" si="14"/>
        <v>0</v>
      </c>
      <c r="Q37" s="235">
        <f t="shared" si="15"/>
        <v>0</v>
      </c>
      <c r="R37" s="322">
        <f t="shared" si="16"/>
        <v>0</v>
      </c>
      <c r="S37" s="253"/>
      <c r="T37" s="252"/>
      <c r="U37" s="251"/>
      <c r="V37" s="250"/>
    </row>
    <row r="38" spans="1:22" s="249" customFormat="1" ht="13.8">
      <c r="A38" s="239">
        <f t="shared" si="17"/>
        <v>21</v>
      </c>
      <c r="B38" s="219" t="s">
        <v>43</v>
      </c>
      <c r="C38" s="218" t="s">
        <v>47</v>
      </c>
      <c r="D38" s="217">
        <v>1596.02</v>
      </c>
      <c r="E38" s="217">
        <v>343.55</v>
      </c>
      <c r="F38" s="216">
        <f t="shared" si="10"/>
        <v>548312.67000000004</v>
      </c>
      <c r="G38" s="320">
        <f t="shared" si="11"/>
        <v>0</v>
      </c>
      <c r="H38" s="238">
        <v>343.55</v>
      </c>
      <c r="I38" s="238">
        <f t="shared" si="12"/>
        <v>548312.67000000004</v>
      </c>
      <c r="J38" s="237"/>
      <c r="K38" s="236"/>
      <c r="L38" s="321"/>
      <c r="M38" s="235">
        <v>44</v>
      </c>
      <c r="N38" s="235">
        <f t="shared" si="18"/>
        <v>70224.88</v>
      </c>
      <c r="O38" s="235">
        <f t="shared" si="13"/>
        <v>44</v>
      </c>
      <c r="P38" s="321">
        <f t="shared" si="14"/>
        <v>70224.88</v>
      </c>
      <c r="Q38" s="235">
        <f t="shared" si="15"/>
        <v>12.81</v>
      </c>
      <c r="R38" s="322">
        <f t="shared" si="16"/>
        <v>12.81</v>
      </c>
      <c r="S38" s="253"/>
      <c r="T38" s="252"/>
      <c r="U38" s="251"/>
      <c r="V38" s="250"/>
    </row>
    <row r="39" spans="1:22" ht="13.8">
      <c r="A39" s="239">
        <f t="shared" si="17"/>
        <v>22</v>
      </c>
      <c r="B39" s="219" t="s">
        <v>44</v>
      </c>
      <c r="C39" s="218" t="s">
        <v>10</v>
      </c>
      <c r="D39" s="217">
        <v>638.48</v>
      </c>
      <c r="E39" s="217">
        <v>70.819999999999993</v>
      </c>
      <c r="F39" s="216">
        <f t="shared" si="10"/>
        <v>45217.15</v>
      </c>
      <c r="G39" s="320">
        <f t="shared" si="11"/>
        <v>0</v>
      </c>
      <c r="H39" s="238">
        <v>70.819999999999993</v>
      </c>
      <c r="I39" s="238">
        <f t="shared" si="12"/>
        <v>45217.15</v>
      </c>
      <c r="J39" s="237"/>
      <c r="K39" s="236"/>
      <c r="L39" s="321"/>
      <c r="M39" s="235"/>
      <c r="N39" s="235">
        <f t="shared" si="18"/>
        <v>0</v>
      </c>
      <c r="O39" s="235">
        <f t="shared" si="13"/>
        <v>0</v>
      </c>
      <c r="P39" s="321">
        <f t="shared" si="14"/>
        <v>0</v>
      </c>
      <c r="Q39" s="235">
        <f t="shared" si="15"/>
        <v>0</v>
      </c>
      <c r="R39" s="322">
        <f t="shared" si="16"/>
        <v>0</v>
      </c>
      <c r="S39" s="248"/>
      <c r="T39" s="205"/>
      <c r="V39" s="181"/>
    </row>
    <row r="40" spans="1:22" ht="13.8">
      <c r="A40" s="323">
        <f t="shared" si="17"/>
        <v>23</v>
      </c>
      <c r="B40" s="215" t="s">
        <v>45</v>
      </c>
      <c r="C40" s="214" t="s">
        <v>47</v>
      </c>
      <c r="D40" s="213">
        <v>44.35</v>
      </c>
      <c r="E40" s="213">
        <v>2726.08</v>
      </c>
      <c r="F40" s="212">
        <f t="shared" si="10"/>
        <v>120901.65</v>
      </c>
      <c r="G40" s="324">
        <f t="shared" si="11"/>
        <v>0</v>
      </c>
      <c r="H40" s="325">
        <v>2726.08</v>
      </c>
      <c r="I40" s="325">
        <f t="shared" si="12"/>
        <v>120901.65</v>
      </c>
      <c r="J40" s="326"/>
      <c r="K40" s="331"/>
      <c r="L40" s="327"/>
      <c r="M40" s="328"/>
      <c r="N40" s="328">
        <f t="shared" si="18"/>
        <v>0</v>
      </c>
      <c r="O40" s="328">
        <f t="shared" si="13"/>
        <v>0</v>
      </c>
      <c r="P40" s="327">
        <f t="shared" si="14"/>
        <v>0</v>
      </c>
      <c r="Q40" s="328">
        <f t="shared" si="15"/>
        <v>0</v>
      </c>
      <c r="R40" s="329">
        <f t="shared" si="16"/>
        <v>0</v>
      </c>
      <c r="S40" s="248"/>
      <c r="T40" s="205"/>
      <c r="V40" s="181"/>
    </row>
    <row r="41" spans="1:22" ht="13.8">
      <c r="A41" s="229"/>
      <c r="B41" s="228" t="s">
        <v>48</v>
      </c>
      <c r="C41" s="227"/>
      <c r="D41" s="226"/>
      <c r="E41" s="226"/>
      <c r="F41" s="225"/>
      <c r="G41" s="226"/>
      <c r="H41" s="225"/>
      <c r="I41" s="225"/>
      <c r="J41" s="224"/>
      <c r="K41" s="223"/>
      <c r="L41" s="221"/>
      <c r="M41" s="221"/>
      <c r="N41" s="221"/>
      <c r="O41" s="221"/>
      <c r="P41" s="222"/>
      <c r="Q41" s="221"/>
      <c r="R41" s="220"/>
      <c r="S41" s="181"/>
      <c r="T41" s="205"/>
      <c r="V41" s="181"/>
    </row>
    <row r="42" spans="1:22" ht="13.8">
      <c r="A42" s="313">
        <v>24</v>
      </c>
      <c r="B42" s="241" t="s">
        <v>17</v>
      </c>
      <c r="C42" s="234" t="s">
        <v>18</v>
      </c>
      <c r="D42" s="233">
        <v>47860.38</v>
      </c>
      <c r="E42" s="233">
        <v>1</v>
      </c>
      <c r="F42" s="240">
        <f t="shared" ref="F42:F55" si="19">D42*E42</f>
        <v>47860.38</v>
      </c>
      <c r="G42" s="314">
        <f t="shared" ref="G42:G55" si="20">+H42-E42</f>
        <v>0</v>
      </c>
      <c r="H42" s="315">
        <v>1</v>
      </c>
      <c r="I42" s="315">
        <f t="shared" ref="I42:I55" si="21">+H42*D42</f>
        <v>47860.38</v>
      </c>
      <c r="J42" s="330"/>
      <c r="K42" s="315"/>
      <c r="L42" s="318"/>
      <c r="M42" s="317">
        <v>1</v>
      </c>
      <c r="N42" s="317">
        <f t="shared" ref="N42:N55" si="22">ROUND(M42*D42,2)</f>
        <v>47860.38</v>
      </c>
      <c r="O42" s="317">
        <f t="shared" ref="O42:O55" si="23">M42+K42</f>
        <v>1</v>
      </c>
      <c r="P42" s="318">
        <f t="shared" ref="P42:P55" si="24">L42+N42</f>
        <v>47860.38</v>
      </c>
      <c r="Q42" s="317">
        <f t="shared" ref="Q42:Q55" si="25">IF(ISERROR(N42/I42),"",ROUND(N42/I42*100,2))</f>
        <v>100</v>
      </c>
      <c r="R42" s="319">
        <f t="shared" ref="R42:R55" si="26">IF(ISERROR(P42/I42),"",ROUND(P42/I42*100,2))</f>
        <v>100</v>
      </c>
      <c r="S42" s="181"/>
      <c r="T42" s="205"/>
    </row>
    <row r="43" spans="1:22" ht="13.8">
      <c r="A43" s="239">
        <f t="shared" ref="A43:A55" si="27">1+A42</f>
        <v>25</v>
      </c>
      <c r="B43" s="219" t="s">
        <v>32</v>
      </c>
      <c r="C43" s="218" t="s">
        <v>18</v>
      </c>
      <c r="D43" s="217">
        <v>3848.37</v>
      </c>
      <c r="E43" s="217">
        <v>1</v>
      </c>
      <c r="F43" s="216">
        <f t="shared" si="19"/>
        <v>3848.37</v>
      </c>
      <c r="G43" s="320">
        <f t="shared" si="20"/>
        <v>0</v>
      </c>
      <c r="H43" s="238">
        <v>1</v>
      </c>
      <c r="I43" s="238">
        <f t="shared" si="21"/>
        <v>3848.37</v>
      </c>
      <c r="J43" s="237"/>
      <c r="K43" s="238"/>
      <c r="L43" s="321"/>
      <c r="M43" s="235">
        <v>1</v>
      </c>
      <c r="N43" s="235">
        <f t="shared" si="22"/>
        <v>3848.37</v>
      </c>
      <c r="O43" s="235">
        <f t="shared" si="23"/>
        <v>1</v>
      </c>
      <c r="P43" s="321">
        <f t="shared" si="24"/>
        <v>3848.37</v>
      </c>
      <c r="Q43" s="235">
        <f t="shared" si="25"/>
        <v>100</v>
      </c>
      <c r="R43" s="322">
        <f t="shared" si="26"/>
        <v>100</v>
      </c>
      <c r="S43" s="181"/>
      <c r="T43" s="205"/>
    </row>
    <row r="44" spans="1:22" s="244" customFormat="1" ht="13.8">
      <c r="A44" s="239">
        <f t="shared" si="27"/>
        <v>26</v>
      </c>
      <c r="B44" s="219" t="s">
        <v>49</v>
      </c>
      <c r="C44" s="218" t="s">
        <v>10</v>
      </c>
      <c r="D44" s="217">
        <v>27.03</v>
      </c>
      <c r="E44" s="217">
        <v>797</v>
      </c>
      <c r="F44" s="216">
        <f t="shared" si="19"/>
        <v>21542.91</v>
      </c>
      <c r="G44" s="320">
        <f t="shared" si="20"/>
        <v>295.10000000000002</v>
      </c>
      <c r="H44" s="238">
        <v>1092.0999999999999</v>
      </c>
      <c r="I44" s="238">
        <f t="shared" si="21"/>
        <v>29519.46</v>
      </c>
      <c r="J44" s="237"/>
      <c r="K44" s="236"/>
      <c r="L44" s="321"/>
      <c r="M44" s="235"/>
      <c r="N44" s="235">
        <f t="shared" si="22"/>
        <v>0</v>
      </c>
      <c r="O44" s="235">
        <f t="shared" si="23"/>
        <v>0</v>
      </c>
      <c r="P44" s="321">
        <f t="shared" si="24"/>
        <v>0</v>
      </c>
      <c r="Q44" s="235">
        <f t="shared" si="25"/>
        <v>0</v>
      </c>
      <c r="R44" s="322">
        <f t="shared" si="26"/>
        <v>0</v>
      </c>
      <c r="S44" s="247"/>
      <c r="T44" s="246"/>
      <c r="U44" s="245"/>
    </row>
    <row r="45" spans="1:22" s="244" customFormat="1" ht="13.8">
      <c r="A45" s="239">
        <f t="shared" si="27"/>
        <v>27</v>
      </c>
      <c r="B45" s="219" t="s">
        <v>35</v>
      </c>
      <c r="C45" s="218" t="s">
        <v>10</v>
      </c>
      <c r="D45" s="217">
        <v>1801.53</v>
      </c>
      <c r="E45" s="217">
        <v>486.72</v>
      </c>
      <c r="F45" s="216">
        <f t="shared" si="19"/>
        <v>876840.68</v>
      </c>
      <c r="G45" s="320">
        <f t="shared" si="20"/>
        <v>150.13999999999999</v>
      </c>
      <c r="H45" s="238">
        <v>636.86</v>
      </c>
      <c r="I45" s="238">
        <f t="shared" si="21"/>
        <v>1147322.3999999999</v>
      </c>
      <c r="J45" s="237"/>
      <c r="K45" s="236"/>
      <c r="L45" s="321"/>
      <c r="M45" s="235"/>
      <c r="N45" s="235">
        <f t="shared" si="22"/>
        <v>0</v>
      </c>
      <c r="O45" s="235">
        <f t="shared" si="23"/>
        <v>0</v>
      </c>
      <c r="P45" s="321">
        <f t="shared" si="24"/>
        <v>0</v>
      </c>
      <c r="Q45" s="235">
        <f t="shared" si="25"/>
        <v>0</v>
      </c>
      <c r="R45" s="322">
        <f t="shared" si="26"/>
        <v>0</v>
      </c>
      <c r="S45" s="247"/>
      <c r="T45" s="246"/>
      <c r="U45" s="245"/>
    </row>
    <row r="46" spans="1:22" s="244" customFormat="1" ht="13.8">
      <c r="A46" s="239">
        <f t="shared" si="27"/>
        <v>28</v>
      </c>
      <c r="B46" s="219" t="s">
        <v>36</v>
      </c>
      <c r="C46" s="218" t="s">
        <v>46</v>
      </c>
      <c r="D46" s="217">
        <v>15.35</v>
      </c>
      <c r="E46" s="217">
        <v>31927.89</v>
      </c>
      <c r="F46" s="216">
        <f t="shared" si="19"/>
        <v>490093.11</v>
      </c>
      <c r="G46" s="320">
        <f t="shared" si="20"/>
        <v>-984.49</v>
      </c>
      <c r="H46" s="238">
        <v>30943.4</v>
      </c>
      <c r="I46" s="238">
        <f t="shared" si="21"/>
        <v>474981.19</v>
      </c>
      <c r="J46" s="237"/>
      <c r="K46" s="238"/>
      <c r="L46" s="321"/>
      <c r="M46" s="235"/>
      <c r="N46" s="235">
        <f t="shared" si="22"/>
        <v>0</v>
      </c>
      <c r="O46" s="235">
        <f t="shared" si="23"/>
        <v>0</v>
      </c>
      <c r="P46" s="321">
        <f t="shared" si="24"/>
        <v>0</v>
      </c>
      <c r="Q46" s="235">
        <f t="shared" si="25"/>
        <v>0</v>
      </c>
      <c r="R46" s="322">
        <f t="shared" si="26"/>
        <v>0</v>
      </c>
      <c r="S46" s="247"/>
      <c r="T46" s="246"/>
      <c r="U46" s="245"/>
    </row>
    <row r="47" spans="1:22" ht="13.8">
      <c r="A47" s="239">
        <f t="shared" si="27"/>
        <v>29</v>
      </c>
      <c r="B47" s="219" t="s">
        <v>50</v>
      </c>
      <c r="C47" s="218" t="s">
        <v>47</v>
      </c>
      <c r="D47" s="217">
        <v>3943.09</v>
      </c>
      <c r="E47" s="217">
        <v>105</v>
      </c>
      <c r="F47" s="216">
        <f t="shared" si="19"/>
        <v>414024.45</v>
      </c>
      <c r="G47" s="320">
        <f t="shared" si="20"/>
        <v>35</v>
      </c>
      <c r="H47" s="238">
        <v>140</v>
      </c>
      <c r="I47" s="238">
        <f t="shared" si="21"/>
        <v>552032.6</v>
      </c>
      <c r="J47" s="237"/>
      <c r="K47" s="238"/>
      <c r="L47" s="321"/>
      <c r="M47" s="235"/>
      <c r="N47" s="235">
        <f t="shared" si="22"/>
        <v>0</v>
      </c>
      <c r="O47" s="235">
        <f t="shared" si="23"/>
        <v>0</v>
      </c>
      <c r="P47" s="321">
        <f t="shared" si="24"/>
        <v>0</v>
      </c>
      <c r="Q47" s="235">
        <f t="shared" si="25"/>
        <v>0</v>
      </c>
      <c r="R47" s="322">
        <f t="shared" si="26"/>
        <v>0</v>
      </c>
      <c r="S47" s="181"/>
      <c r="T47" s="205"/>
    </row>
    <row r="48" spans="1:22" ht="13.8">
      <c r="A48" s="239">
        <f t="shared" si="27"/>
        <v>30</v>
      </c>
      <c r="B48" s="219" t="s">
        <v>51</v>
      </c>
      <c r="C48" s="218" t="s">
        <v>58</v>
      </c>
      <c r="D48" s="217">
        <v>403.4</v>
      </c>
      <c r="E48" s="217">
        <v>48</v>
      </c>
      <c r="F48" s="216">
        <f t="shared" si="19"/>
        <v>19363.2</v>
      </c>
      <c r="G48" s="320">
        <f t="shared" si="20"/>
        <v>16</v>
      </c>
      <c r="H48" s="238">
        <v>64</v>
      </c>
      <c r="I48" s="238">
        <f t="shared" si="21"/>
        <v>25817.599999999999</v>
      </c>
      <c r="J48" s="237"/>
      <c r="K48" s="238"/>
      <c r="L48" s="321"/>
      <c r="M48" s="235"/>
      <c r="N48" s="235">
        <f t="shared" si="22"/>
        <v>0</v>
      </c>
      <c r="O48" s="235">
        <f t="shared" si="23"/>
        <v>0</v>
      </c>
      <c r="P48" s="321">
        <f t="shared" si="24"/>
        <v>0</v>
      </c>
      <c r="Q48" s="235">
        <f t="shared" si="25"/>
        <v>0</v>
      </c>
      <c r="R48" s="322">
        <f t="shared" si="26"/>
        <v>0</v>
      </c>
      <c r="S48" s="181"/>
      <c r="T48" s="205"/>
    </row>
    <row r="49" spans="1:21" ht="13.8">
      <c r="A49" s="239">
        <f t="shared" si="27"/>
        <v>31</v>
      </c>
      <c r="B49" s="219" t="s">
        <v>52</v>
      </c>
      <c r="C49" s="218" t="s">
        <v>18</v>
      </c>
      <c r="D49" s="217">
        <v>45986.77</v>
      </c>
      <c r="E49" s="217">
        <v>0.65</v>
      </c>
      <c r="F49" s="216">
        <f t="shared" si="19"/>
        <v>29891.4</v>
      </c>
      <c r="G49" s="320">
        <f t="shared" si="20"/>
        <v>0.22</v>
      </c>
      <c r="H49" s="238">
        <v>0.87</v>
      </c>
      <c r="I49" s="238">
        <f t="shared" si="21"/>
        <v>40008.49</v>
      </c>
      <c r="J49" s="237"/>
      <c r="K49" s="238"/>
      <c r="L49" s="321"/>
      <c r="M49" s="235"/>
      <c r="N49" s="235">
        <f t="shared" si="22"/>
        <v>0</v>
      </c>
      <c r="O49" s="235">
        <f t="shared" si="23"/>
        <v>0</v>
      </c>
      <c r="P49" s="321">
        <f t="shared" si="24"/>
        <v>0</v>
      </c>
      <c r="Q49" s="235">
        <f t="shared" si="25"/>
        <v>0</v>
      </c>
      <c r="R49" s="322">
        <f t="shared" si="26"/>
        <v>0</v>
      </c>
      <c r="S49" s="181"/>
      <c r="T49" s="205"/>
    </row>
    <row r="50" spans="1:21" ht="13.8">
      <c r="A50" s="239">
        <f t="shared" si="27"/>
        <v>32</v>
      </c>
      <c r="B50" s="219" t="s">
        <v>53</v>
      </c>
      <c r="C50" s="218" t="s">
        <v>47</v>
      </c>
      <c r="D50" s="217">
        <v>825.66</v>
      </c>
      <c r="E50" s="217">
        <v>18.2</v>
      </c>
      <c r="F50" s="216">
        <f t="shared" si="19"/>
        <v>15027.01</v>
      </c>
      <c r="G50" s="320">
        <f t="shared" si="20"/>
        <v>0</v>
      </c>
      <c r="H50" s="238">
        <v>18.2</v>
      </c>
      <c r="I50" s="238">
        <f t="shared" si="21"/>
        <v>15027.01</v>
      </c>
      <c r="J50" s="237"/>
      <c r="K50" s="238"/>
      <c r="L50" s="321"/>
      <c r="M50" s="235"/>
      <c r="N50" s="235">
        <f t="shared" si="22"/>
        <v>0</v>
      </c>
      <c r="O50" s="235">
        <f t="shared" si="23"/>
        <v>0</v>
      </c>
      <c r="P50" s="321">
        <f t="shared" si="24"/>
        <v>0</v>
      </c>
      <c r="Q50" s="235">
        <f t="shared" si="25"/>
        <v>0</v>
      </c>
      <c r="R50" s="322">
        <f t="shared" si="26"/>
        <v>0</v>
      </c>
      <c r="S50" s="181"/>
      <c r="T50" s="205"/>
    </row>
    <row r="51" spans="1:21" ht="13.8">
      <c r="A51" s="239">
        <f t="shared" si="27"/>
        <v>33</v>
      </c>
      <c r="B51" s="219" t="s">
        <v>54</v>
      </c>
      <c r="C51" s="218" t="s">
        <v>47</v>
      </c>
      <c r="D51" s="217">
        <v>83.48</v>
      </c>
      <c r="E51" s="217">
        <v>47.3</v>
      </c>
      <c r="F51" s="216">
        <f t="shared" si="19"/>
        <v>3948.6</v>
      </c>
      <c r="G51" s="320">
        <f t="shared" si="20"/>
        <v>0</v>
      </c>
      <c r="H51" s="238">
        <v>47.3</v>
      </c>
      <c r="I51" s="238">
        <f t="shared" si="21"/>
        <v>3948.6</v>
      </c>
      <c r="J51" s="237"/>
      <c r="K51" s="238"/>
      <c r="L51" s="321"/>
      <c r="M51" s="235"/>
      <c r="N51" s="235">
        <f t="shared" si="22"/>
        <v>0</v>
      </c>
      <c r="O51" s="235">
        <f t="shared" si="23"/>
        <v>0</v>
      </c>
      <c r="P51" s="321">
        <f t="shared" si="24"/>
        <v>0</v>
      </c>
      <c r="Q51" s="235">
        <f t="shared" si="25"/>
        <v>0</v>
      </c>
      <c r="R51" s="322">
        <f t="shared" si="26"/>
        <v>0</v>
      </c>
      <c r="S51" s="181"/>
      <c r="T51" s="205"/>
    </row>
    <row r="52" spans="1:21" ht="13.8">
      <c r="A52" s="239">
        <f t="shared" si="27"/>
        <v>34</v>
      </c>
      <c r="B52" s="219" t="s">
        <v>55</v>
      </c>
      <c r="C52" s="218" t="s">
        <v>10</v>
      </c>
      <c r="D52" s="217">
        <v>150.47999999999999</v>
      </c>
      <c r="E52" s="217">
        <v>106.76</v>
      </c>
      <c r="F52" s="216">
        <f t="shared" si="19"/>
        <v>16065.24</v>
      </c>
      <c r="G52" s="320">
        <f t="shared" si="20"/>
        <v>34.57</v>
      </c>
      <c r="H52" s="238">
        <v>141.33000000000001</v>
      </c>
      <c r="I52" s="238">
        <f t="shared" si="21"/>
        <v>21267.34</v>
      </c>
      <c r="J52" s="237"/>
      <c r="K52" s="238"/>
      <c r="L52" s="321"/>
      <c r="M52" s="235"/>
      <c r="N52" s="235">
        <f t="shared" si="22"/>
        <v>0</v>
      </c>
      <c r="O52" s="235">
        <f t="shared" si="23"/>
        <v>0</v>
      </c>
      <c r="P52" s="321">
        <f t="shared" si="24"/>
        <v>0</v>
      </c>
      <c r="Q52" s="235">
        <f t="shared" si="25"/>
        <v>0</v>
      </c>
      <c r="R52" s="322">
        <f t="shared" si="26"/>
        <v>0</v>
      </c>
      <c r="S52" s="181"/>
      <c r="T52" s="205"/>
    </row>
    <row r="53" spans="1:21" s="244" customFormat="1" ht="13.8">
      <c r="A53" s="239">
        <f t="shared" si="27"/>
        <v>35</v>
      </c>
      <c r="B53" s="219" t="s">
        <v>44</v>
      </c>
      <c r="C53" s="218" t="s">
        <v>10</v>
      </c>
      <c r="D53" s="217">
        <v>638.48</v>
      </c>
      <c r="E53" s="217">
        <v>20.6</v>
      </c>
      <c r="F53" s="216">
        <f t="shared" si="19"/>
        <v>13152.69</v>
      </c>
      <c r="G53" s="320">
        <f t="shared" si="20"/>
        <v>2.64</v>
      </c>
      <c r="H53" s="238">
        <v>23.24</v>
      </c>
      <c r="I53" s="238">
        <f t="shared" si="21"/>
        <v>14838.28</v>
      </c>
      <c r="J53" s="237"/>
      <c r="K53" s="238"/>
      <c r="L53" s="321"/>
      <c r="M53" s="235"/>
      <c r="N53" s="235">
        <f t="shared" si="22"/>
        <v>0</v>
      </c>
      <c r="O53" s="235">
        <f t="shared" si="23"/>
        <v>0</v>
      </c>
      <c r="P53" s="321">
        <f t="shared" si="24"/>
        <v>0</v>
      </c>
      <c r="Q53" s="235">
        <f t="shared" si="25"/>
        <v>0</v>
      </c>
      <c r="R53" s="322">
        <f t="shared" si="26"/>
        <v>0</v>
      </c>
      <c r="S53" s="247"/>
      <c r="T53" s="246"/>
      <c r="U53" s="245"/>
    </row>
    <row r="54" spans="1:21" ht="13.8">
      <c r="A54" s="239">
        <f t="shared" si="27"/>
        <v>36</v>
      </c>
      <c r="B54" s="219" t="s">
        <v>56</v>
      </c>
      <c r="C54" s="218" t="s">
        <v>10</v>
      </c>
      <c r="D54" s="217">
        <v>573.79</v>
      </c>
      <c r="E54" s="217">
        <v>476</v>
      </c>
      <c r="F54" s="216">
        <f t="shared" si="19"/>
        <v>273124.03999999998</v>
      </c>
      <c r="G54" s="320">
        <f t="shared" si="20"/>
        <v>-476</v>
      </c>
      <c r="H54" s="238">
        <v>0</v>
      </c>
      <c r="I54" s="238">
        <f t="shared" si="21"/>
        <v>0</v>
      </c>
      <c r="J54" s="237"/>
      <c r="K54" s="238"/>
      <c r="L54" s="321"/>
      <c r="M54" s="235"/>
      <c r="N54" s="235">
        <f t="shared" si="22"/>
        <v>0</v>
      </c>
      <c r="O54" s="235">
        <f t="shared" si="23"/>
        <v>0</v>
      </c>
      <c r="P54" s="321">
        <f t="shared" si="24"/>
        <v>0</v>
      </c>
      <c r="Q54" s="235" t="str">
        <f t="shared" si="25"/>
        <v/>
      </c>
      <c r="R54" s="322" t="str">
        <f t="shared" si="26"/>
        <v/>
      </c>
      <c r="S54" s="181"/>
      <c r="T54" s="205"/>
    </row>
    <row r="55" spans="1:21" ht="13.8">
      <c r="A55" s="323">
        <f t="shared" si="27"/>
        <v>37</v>
      </c>
      <c r="B55" s="215" t="s">
        <v>57</v>
      </c>
      <c r="C55" s="214" t="s">
        <v>18</v>
      </c>
      <c r="D55" s="213">
        <v>4553.8599999999997</v>
      </c>
      <c r="E55" s="213">
        <v>1</v>
      </c>
      <c r="F55" s="243">
        <f t="shared" si="19"/>
        <v>4553.8599999999997</v>
      </c>
      <c r="G55" s="324">
        <f t="shared" si="20"/>
        <v>0</v>
      </c>
      <c r="H55" s="325">
        <v>1</v>
      </c>
      <c r="I55" s="325">
        <f t="shared" si="21"/>
        <v>4553.8599999999997</v>
      </c>
      <c r="J55" s="326"/>
      <c r="K55" s="325"/>
      <c r="L55" s="327"/>
      <c r="M55" s="328"/>
      <c r="N55" s="328">
        <f t="shared" si="22"/>
        <v>0</v>
      </c>
      <c r="O55" s="328">
        <f t="shared" si="23"/>
        <v>0</v>
      </c>
      <c r="P55" s="327">
        <f t="shared" si="24"/>
        <v>0</v>
      </c>
      <c r="Q55" s="328">
        <f t="shared" si="25"/>
        <v>0</v>
      </c>
      <c r="R55" s="329">
        <f t="shared" si="26"/>
        <v>0</v>
      </c>
      <c r="S55" s="181"/>
      <c r="T55" s="205"/>
    </row>
    <row r="56" spans="1:21" ht="13.8">
      <c r="A56" s="229"/>
      <c r="B56" s="228" t="s">
        <v>59</v>
      </c>
      <c r="C56" s="227"/>
      <c r="D56" s="242"/>
      <c r="E56" s="242"/>
      <c r="F56" s="225"/>
      <c r="G56" s="226"/>
      <c r="H56" s="225"/>
      <c r="I56" s="225"/>
      <c r="J56" s="224"/>
      <c r="K56" s="223"/>
      <c r="L56" s="221"/>
      <c r="M56" s="221"/>
      <c r="N56" s="221"/>
      <c r="O56" s="221"/>
      <c r="P56" s="222"/>
      <c r="Q56" s="221"/>
      <c r="R56" s="220"/>
      <c r="S56" s="181"/>
      <c r="T56" s="205"/>
    </row>
    <row r="57" spans="1:21" ht="13.8">
      <c r="A57" s="313">
        <v>38</v>
      </c>
      <c r="B57" s="241" t="s">
        <v>17</v>
      </c>
      <c r="C57" s="234" t="s">
        <v>18</v>
      </c>
      <c r="D57" s="233">
        <v>47860.38</v>
      </c>
      <c r="E57" s="233">
        <v>1</v>
      </c>
      <c r="F57" s="240">
        <f t="shared" ref="F57:F68" si="28">D57*E57</f>
        <v>47860.38</v>
      </c>
      <c r="G57" s="314">
        <f t="shared" ref="G57:G68" si="29">+H57-E57</f>
        <v>0</v>
      </c>
      <c r="H57" s="315">
        <v>1</v>
      </c>
      <c r="I57" s="315">
        <f t="shared" ref="I57:I68" si="30">+H57*D57</f>
        <v>47860.38</v>
      </c>
      <c r="J57" s="330"/>
      <c r="K57" s="315"/>
      <c r="L57" s="318"/>
      <c r="M57" s="317">
        <v>1</v>
      </c>
      <c r="N57" s="317">
        <f t="shared" ref="N57:N68" si="31">ROUND(M57*D57,2)</f>
        <v>47860.38</v>
      </c>
      <c r="O57" s="317">
        <f t="shared" ref="O57:O68" si="32">M57+K57</f>
        <v>1</v>
      </c>
      <c r="P57" s="318">
        <f t="shared" ref="P57:P68" si="33">L57+N57</f>
        <v>47860.38</v>
      </c>
      <c r="Q57" s="317">
        <f t="shared" ref="Q57:Q68" si="34">IF(ISERROR(N57/I57),"",ROUND(N57/I57*100,2))</f>
        <v>100</v>
      </c>
      <c r="R57" s="319">
        <f t="shared" ref="R57:R68" si="35">IF(ISERROR(P57/I57),"",ROUND(P57/I57*100,2))</f>
        <v>100</v>
      </c>
      <c r="S57" s="181"/>
      <c r="T57" s="205"/>
    </row>
    <row r="58" spans="1:21" ht="13.8">
      <c r="A58" s="239">
        <f t="shared" ref="A58:A68" si="36">A57+1</f>
        <v>39</v>
      </c>
      <c r="B58" s="219" t="s">
        <v>32</v>
      </c>
      <c r="C58" s="218" t="s">
        <v>18</v>
      </c>
      <c r="D58" s="217">
        <v>3848.37</v>
      </c>
      <c r="E58" s="217">
        <v>1</v>
      </c>
      <c r="F58" s="216">
        <f t="shared" si="28"/>
        <v>3848.37</v>
      </c>
      <c r="G58" s="320">
        <f t="shared" si="29"/>
        <v>0</v>
      </c>
      <c r="H58" s="238">
        <v>1</v>
      </c>
      <c r="I58" s="238">
        <f t="shared" si="30"/>
        <v>3848.37</v>
      </c>
      <c r="J58" s="238"/>
      <c r="K58" s="238"/>
      <c r="L58" s="321"/>
      <c r="M58" s="235">
        <v>1</v>
      </c>
      <c r="N58" s="235">
        <f t="shared" si="31"/>
        <v>3848.37</v>
      </c>
      <c r="O58" s="235">
        <f t="shared" si="32"/>
        <v>1</v>
      </c>
      <c r="P58" s="321">
        <f t="shared" si="33"/>
        <v>3848.37</v>
      </c>
      <c r="Q58" s="235">
        <f t="shared" si="34"/>
        <v>100</v>
      </c>
      <c r="R58" s="322">
        <f t="shared" si="35"/>
        <v>100</v>
      </c>
      <c r="S58" s="181"/>
      <c r="T58" s="205"/>
    </row>
    <row r="59" spans="1:21" ht="13.8">
      <c r="A59" s="239">
        <f t="shared" si="36"/>
        <v>40</v>
      </c>
      <c r="B59" s="219" t="s">
        <v>33</v>
      </c>
      <c r="C59" s="218" t="s">
        <v>10</v>
      </c>
      <c r="D59" s="217">
        <v>27.03</v>
      </c>
      <c r="E59" s="217">
        <v>421.23</v>
      </c>
      <c r="F59" s="216">
        <f t="shared" si="28"/>
        <v>11385.85</v>
      </c>
      <c r="G59" s="320">
        <f t="shared" si="29"/>
        <v>0</v>
      </c>
      <c r="H59" s="238">
        <v>421.23</v>
      </c>
      <c r="I59" s="238">
        <f t="shared" si="30"/>
        <v>11385.85</v>
      </c>
      <c r="J59" s="238"/>
      <c r="K59" s="238"/>
      <c r="L59" s="321"/>
      <c r="M59" s="235"/>
      <c r="N59" s="235">
        <f t="shared" si="31"/>
        <v>0</v>
      </c>
      <c r="O59" s="235">
        <f t="shared" si="32"/>
        <v>0</v>
      </c>
      <c r="P59" s="321">
        <f t="shared" si="33"/>
        <v>0</v>
      </c>
      <c r="Q59" s="235">
        <f t="shared" si="34"/>
        <v>0</v>
      </c>
      <c r="R59" s="322">
        <f t="shared" si="35"/>
        <v>0</v>
      </c>
      <c r="S59" s="181"/>
      <c r="T59" s="205"/>
    </row>
    <row r="60" spans="1:21" ht="13.8">
      <c r="A60" s="239">
        <f t="shared" si="36"/>
        <v>41</v>
      </c>
      <c r="B60" s="219" t="s">
        <v>60</v>
      </c>
      <c r="C60" s="218" t="s">
        <v>10</v>
      </c>
      <c r="D60" s="217">
        <v>651.46</v>
      </c>
      <c r="E60" s="217">
        <v>379.8</v>
      </c>
      <c r="F60" s="216">
        <f t="shared" si="28"/>
        <v>247424.51</v>
      </c>
      <c r="G60" s="320">
        <f t="shared" si="29"/>
        <v>0</v>
      </c>
      <c r="H60" s="238">
        <v>379.8</v>
      </c>
      <c r="I60" s="238">
        <f t="shared" si="30"/>
        <v>247424.51</v>
      </c>
      <c r="J60" s="238"/>
      <c r="K60" s="238"/>
      <c r="L60" s="321"/>
      <c r="M60" s="235"/>
      <c r="N60" s="235">
        <f t="shared" si="31"/>
        <v>0</v>
      </c>
      <c r="O60" s="235">
        <f t="shared" si="32"/>
        <v>0</v>
      </c>
      <c r="P60" s="321">
        <f t="shared" si="33"/>
        <v>0</v>
      </c>
      <c r="Q60" s="235">
        <f t="shared" si="34"/>
        <v>0</v>
      </c>
      <c r="R60" s="322">
        <f t="shared" si="35"/>
        <v>0</v>
      </c>
      <c r="S60" s="181"/>
      <c r="T60" s="205"/>
    </row>
    <row r="61" spans="1:21" ht="13.8">
      <c r="A61" s="239">
        <f t="shared" si="36"/>
        <v>42</v>
      </c>
      <c r="B61" s="3" t="s">
        <v>35</v>
      </c>
      <c r="C61" s="10" t="s">
        <v>10</v>
      </c>
      <c r="D61" s="11">
        <v>1801.53</v>
      </c>
      <c r="E61" s="12">
        <v>95.41</v>
      </c>
      <c r="F61" s="216">
        <f t="shared" si="28"/>
        <v>171883.98</v>
      </c>
      <c r="G61" s="320">
        <f t="shared" si="29"/>
        <v>0</v>
      </c>
      <c r="H61" s="238">
        <v>95.41</v>
      </c>
      <c r="I61" s="238">
        <f t="shared" si="30"/>
        <v>171883.98</v>
      </c>
      <c r="J61" s="238"/>
      <c r="K61" s="238"/>
      <c r="L61" s="321"/>
      <c r="M61" s="235"/>
      <c r="N61" s="235">
        <f t="shared" si="31"/>
        <v>0</v>
      </c>
      <c r="O61" s="235">
        <f t="shared" si="32"/>
        <v>0</v>
      </c>
      <c r="P61" s="321">
        <f t="shared" si="33"/>
        <v>0</v>
      </c>
      <c r="Q61" s="235">
        <f t="shared" si="34"/>
        <v>0</v>
      </c>
      <c r="R61" s="322">
        <f t="shared" si="35"/>
        <v>0</v>
      </c>
      <c r="S61" s="181"/>
      <c r="T61" s="205"/>
    </row>
    <row r="62" spans="1:21" ht="13.8">
      <c r="A62" s="239">
        <f t="shared" si="36"/>
        <v>43</v>
      </c>
      <c r="B62" s="219" t="s">
        <v>36</v>
      </c>
      <c r="C62" s="218" t="s">
        <v>46</v>
      </c>
      <c r="D62" s="217">
        <v>15.35</v>
      </c>
      <c r="E62" s="217">
        <v>7046.94</v>
      </c>
      <c r="F62" s="216">
        <f t="shared" si="28"/>
        <v>108170.53</v>
      </c>
      <c r="G62" s="320">
        <f t="shared" si="29"/>
        <v>0</v>
      </c>
      <c r="H62" s="238">
        <v>7046.94</v>
      </c>
      <c r="I62" s="238">
        <f t="shared" si="30"/>
        <v>108170.53</v>
      </c>
      <c r="J62" s="238"/>
      <c r="K62" s="238"/>
      <c r="L62" s="321"/>
      <c r="M62" s="235"/>
      <c r="N62" s="235">
        <f t="shared" si="31"/>
        <v>0</v>
      </c>
      <c r="O62" s="235">
        <f t="shared" si="32"/>
        <v>0</v>
      </c>
      <c r="P62" s="321">
        <f t="shared" si="33"/>
        <v>0</v>
      </c>
      <c r="Q62" s="235">
        <f t="shared" si="34"/>
        <v>0</v>
      </c>
      <c r="R62" s="322">
        <f t="shared" si="35"/>
        <v>0</v>
      </c>
      <c r="S62" s="181"/>
      <c r="T62" s="205"/>
    </row>
    <row r="63" spans="1:21" ht="13.8">
      <c r="A63" s="239">
        <f t="shared" si="36"/>
        <v>44</v>
      </c>
      <c r="B63" s="219" t="s">
        <v>50</v>
      </c>
      <c r="C63" s="218" t="s">
        <v>47</v>
      </c>
      <c r="D63" s="217">
        <v>3139.57</v>
      </c>
      <c r="E63" s="217">
        <v>61.8</v>
      </c>
      <c r="F63" s="216">
        <f t="shared" si="28"/>
        <v>194025.43</v>
      </c>
      <c r="G63" s="320">
        <f t="shared" si="29"/>
        <v>0</v>
      </c>
      <c r="H63" s="238">
        <v>61.8</v>
      </c>
      <c r="I63" s="238">
        <f t="shared" si="30"/>
        <v>194025.43</v>
      </c>
      <c r="J63" s="238"/>
      <c r="K63" s="238"/>
      <c r="L63" s="321"/>
      <c r="M63" s="235"/>
      <c r="N63" s="235">
        <f t="shared" si="31"/>
        <v>0</v>
      </c>
      <c r="O63" s="235">
        <f t="shared" si="32"/>
        <v>0</v>
      </c>
      <c r="P63" s="321">
        <f t="shared" si="33"/>
        <v>0</v>
      </c>
      <c r="Q63" s="235">
        <f t="shared" si="34"/>
        <v>0</v>
      </c>
      <c r="R63" s="322">
        <f t="shared" si="35"/>
        <v>0</v>
      </c>
      <c r="S63" s="181"/>
      <c r="T63" s="205"/>
    </row>
    <row r="64" spans="1:21" ht="13.8">
      <c r="A64" s="239">
        <f t="shared" si="36"/>
        <v>45</v>
      </c>
      <c r="B64" s="219" t="s">
        <v>51</v>
      </c>
      <c r="C64" s="218" t="s">
        <v>58</v>
      </c>
      <c r="D64" s="217">
        <v>403.4</v>
      </c>
      <c r="E64" s="217">
        <v>26.25</v>
      </c>
      <c r="F64" s="216">
        <f t="shared" si="28"/>
        <v>10589.25</v>
      </c>
      <c r="G64" s="320">
        <f t="shared" si="29"/>
        <v>0</v>
      </c>
      <c r="H64" s="238">
        <v>26.25</v>
      </c>
      <c r="I64" s="238">
        <f t="shared" si="30"/>
        <v>10589.25</v>
      </c>
      <c r="J64" s="238"/>
      <c r="K64" s="238"/>
      <c r="L64" s="321"/>
      <c r="M64" s="235"/>
      <c r="N64" s="235">
        <f t="shared" si="31"/>
        <v>0</v>
      </c>
      <c r="O64" s="235">
        <f t="shared" si="32"/>
        <v>0</v>
      </c>
      <c r="P64" s="321">
        <f t="shared" si="33"/>
        <v>0</v>
      </c>
      <c r="Q64" s="235">
        <f t="shared" si="34"/>
        <v>0</v>
      </c>
      <c r="R64" s="322">
        <f t="shared" si="35"/>
        <v>0</v>
      </c>
      <c r="S64" s="181"/>
      <c r="T64" s="205"/>
    </row>
    <row r="65" spans="1:20" ht="13.8">
      <c r="A65" s="239">
        <f t="shared" si="36"/>
        <v>46</v>
      </c>
      <c r="B65" s="219" t="s">
        <v>52</v>
      </c>
      <c r="C65" s="218" t="s">
        <v>18</v>
      </c>
      <c r="D65" s="217">
        <v>45986.77</v>
      </c>
      <c r="E65" s="217">
        <v>1</v>
      </c>
      <c r="F65" s="216">
        <f t="shared" si="28"/>
        <v>45986.77</v>
      </c>
      <c r="G65" s="320">
        <f t="shared" si="29"/>
        <v>0</v>
      </c>
      <c r="H65" s="238">
        <v>1</v>
      </c>
      <c r="I65" s="238">
        <f t="shared" si="30"/>
        <v>45986.77</v>
      </c>
      <c r="J65" s="238"/>
      <c r="K65" s="238"/>
      <c r="L65" s="321"/>
      <c r="M65" s="235"/>
      <c r="N65" s="235">
        <f t="shared" si="31"/>
        <v>0</v>
      </c>
      <c r="O65" s="235">
        <f t="shared" si="32"/>
        <v>0</v>
      </c>
      <c r="P65" s="321">
        <f t="shared" si="33"/>
        <v>0</v>
      </c>
      <c r="Q65" s="235">
        <f t="shared" si="34"/>
        <v>0</v>
      </c>
      <c r="R65" s="322">
        <f t="shared" si="35"/>
        <v>0</v>
      </c>
      <c r="S65" s="181"/>
      <c r="T65" s="205"/>
    </row>
    <row r="66" spans="1:20" ht="13.8">
      <c r="A66" s="239">
        <f t="shared" si="36"/>
        <v>47</v>
      </c>
      <c r="B66" s="219" t="s">
        <v>53</v>
      </c>
      <c r="C66" s="218" t="s">
        <v>47</v>
      </c>
      <c r="D66" s="217">
        <v>825.66</v>
      </c>
      <c r="E66" s="217">
        <v>14.6</v>
      </c>
      <c r="F66" s="216">
        <f t="shared" si="28"/>
        <v>12054.64</v>
      </c>
      <c r="G66" s="320">
        <f t="shared" si="29"/>
        <v>0</v>
      </c>
      <c r="H66" s="238">
        <v>14.6</v>
      </c>
      <c r="I66" s="238">
        <f t="shared" si="30"/>
        <v>12054.64</v>
      </c>
      <c r="J66" s="238"/>
      <c r="K66" s="238"/>
      <c r="L66" s="321"/>
      <c r="M66" s="235"/>
      <c r="N66" s="235">
        <f t="shared" si="31"/>
        <v>0</v>
      </c>
      <c r="O66" s="235">
        <f t="shared" si="32"/>
        <v>0</v>
      </c>
      <c r="P66" s="321">
        <f t="shared" si="33"/>
        <v>0</v>
      </c>
      <c r="Q66" s="235">
        <f t="shared" si="34"/>
        <v>0</v>
      </c>
      <c r="R66" s="322">
        <f t="shared" si="35"/>
        <v>0</v>
      </c>
      <c r="S66" s="181"/>
      <c r="T66" s="205"/>
    </row>
    <row r="67" spans="1:20" ht="13.8">
      <c r="A67" s="239">
        <f t="shared" si="36"/>
        <v>48</v>
      </c>
      <c r="B67" s="219" t="s">
        <v>54</v>
      </c>
      <c r="C67" s="218" t="s">
        <v>47</v>
      </c>
      <c r="D67" s="217">
        <v>83.48</v>
      </c>
      <c r="E67" s="217">
        <v>38.799999999999997</v>
      </c>
      <c r="F67" s="216">
        <f t="shared" si="28"/>
        <v>3239.02</v>
      </c>
      <c r="G67" s="320">
        <f t="shared" si="29"/>
        <v>0</v>
      </c>
      <c r="H67" s="238">
        <v>38.799999999999997</v>
      </c>
      <c r="I67" s="238">
        <f t="shared" si="30"/>
        <v>3239.02</v>
      </c>
      <c r="J67" s="238"/>
      <c r="K67" s="238"/>
      <c r="L67" s="321"/>
      <c r="M67" s="235"/>
      <c r="N67" s="235">
        <f t="shared" si="31"/>
        <v>0</v>
      </c>
      <c r="O67" s="235">
        <f t="shared" si="32"/>
        <v>0</v>
      </c>
      <c r="P67" s="321">
        <f t="shared" si="33"/>
        <v>0</v>
      </c>
      <c r="Q67" s="235">
        <f t="shared" si="34"/>
        <v>0</v>
      </c>
      <c r="R67" s="322">
        <f t="shared" si="35"/>
        <v>0</v>
      </c>
      <c r="S67" s="181"/>
      <c r="T67" s="205"/>
    </row>
    <row r="68" spans="1:20" ht="13.8">
      <c r="A68" s="323">
        <f t="shared" si="36"/>
        <v>49</v>
      </c>
      <c r="B68" s="215" t="s">
        <v>57</v>
      </c>
      <c r="C68" s="214" t="s">
        <v>18</v>
      </c>
      <c r="D68" s="213">
        <v>4553.8599999999997</v>
      </c>
      <c r="E68" s="213">
        <v>1</v>
      </c>
      <c r="F68" s="212">
        <f t="shared" si="28"/>
        <v>4553.8599999999997</v>
      </c>
      <c r="G68" s="324">
        <f t="shared" si="29"/>
        <v>0</v>
      </c>
      <c r="H68" s="325">
        <v>1</v>
      </c>
      <c r="I68" s="325">
        <f t="shared" si="30"/>
        <v>4553.8599999999997</v>
      </c>
      <c r="J68" s="326"/>
      <c r="K68" s="331"/>
      <c r="L68" s="321"/>
      <c r="M68" s="328"/>
      <c r="N68" s="328">
        <f t="shared" si="31"/>
        <v>0</v>
      </c>
      <c r="O68" s="328">
        <f t="shared" si="32"/>
        <v>0</v>
      </c>
      <c r="P68" s="327">
        <f t="shared" si="33"/>
        <v>0</v>
      </c>
      <c r="Q68" s="328">
        <f t="shared" si="34"/>
        <v>0</v>
      </c>
      <c r="R68" s="329">
        <f t="shared" si="35"/>
        <v>0</v>
      </c>
      <c r="S68" s="181"/>
      <c r="T68" s="205"/>
    </row>
    <row r="69" spans="1:20" ht="13.8">
      <c r="A69" s="229"/>
      <c r="B69" s="228" t="s">
        <v>61</v>
      </c>
      <c r="C69" s="227"/>
      <c r="D69" s="226"/>
      <c r="E69" s="226"/>
      <c r="F69" s="225"/>
      <c r="G69" s="226"/>
      <c r="H69" s="225"/>
      <c r="I69" s="225"/>
      <c r="J69" s="224"/>
      <c r="K69" s="223"/>
      <c r="L69" s="221"/>
      <c r="M69" s="221"/>
      <c r="N69" s="221"/>
      <c r="O69" s="221"/>
      <c r="P69" s="222"/>
      <c r="Q69" s="221"/>
      <c r="R69" s="220"/>
      <c r="S69" s="181"/>
      <c r="T69" s="205"/>
    </row>
    <row r="70" spans="1:20" ht="13.8">
      <c r="A70" s="313">
        <v>50</v>
      </c>
      <c r="B70" s="7" t="s">
        <v>62</v>
      </c>
      <c r="C70" s="234" t="s">
        <v>67</v>
      </c>
      <c r="D70" s="233">
        <v>1145.2</v>
      </c>
      <c r="E70" s="233">
        <v>15</v>
      </c>
      <c r="F70" s="232">
        <f>D70*E70</f>
        <v>17178</v>
      </c>
      <c r="G70" s="314">
        <f>+H70-E70</f>
        <v>0</v>
      </c>
      <c r="H70" s="315">
        <v>15</v>
      </c>
      <c r="I70" s="315">
        <f>+H70*D70</f>
        <v>17178</v>
      </c>
      <c r="J70" s="330"/>
      <c r="K70" s="332"/>
      <c r="L70" s="318"/>
      <c r="M70" s="317"/>
      <c r="N70" s="317">
        <f t="shared" ref="N70:N74" si="37">ROUND(M70*D70,2)</f>
        <v>0</v>
      </c>
      <c r="O70" s="317">
        <f t="shared" ref="O70:O74" si="38">M70+K70</f>
        <v>0</v>
      </c>
      <c r="P70" s="318">
        <f t="shared" ref="P70:P74" si="39">L70+N70</f>
        <v>0</v>
      </c>
      <c r="Q70" s="317">
        <f>IF(ISERROR(N70/I70),"",ROUND(N70/I70*100,2))</f>
        <v>0</v>
      </c>
      <c r="R70" s="319">
        <f>IF(ISERROR(P70/I70),"",ROUND(P70/I70*100,2))</f>
        <v>0</v>
      </c>
      <c r="S70" s="181"/>
      <c r="T70" s="205"/>
    </row>
    <row r="71" spans="1:20" ht="13.8">
      <c r="A71" s="239">
        <f>1+A70</f>
        <v>51</v>
      </c>
      <c r="B71" s="8" t="s">
        <v>63</v>
      </c>
      <c r="C71" s="218" t="s">
        <v>67</v>
      </c>
      <c r="D71" s="217">
        <v>977.64</v>
      </c>
      <c r="E71" s="217">
        <v>33</v>
      </c>
      <c r="F71" s="231">
        <f>D71*E71</f>
        <v>32262.12</v>
      </c>
      <c r="G71" s="320">
        <f>+H71-E71</f>
        <v>0</v>
      </c>
      <c r="H71" s="238">
        <v>33</v>
      </c>
      <c r="I71" s="238">
        <f>+H71*D71</f>
        <v>32262.12</v>
      </c>
      <c r="J71" s="237"/>
      <c r="K71" s="236"/>
      <c r="L71" s="321"/>
      <c r="M71" s="235"/>
      <c r="N71" s="235">
        <f t="shared" si="37"/>
        <v>0</v>
      </c>
      <c r="O71" s="235">
        <f t="shared" si="38"/>
        <v>0</v>
      </c>
      <c r="P71" s="321">
        <f t="shared" si="39"/>
        <v>0</v>
      </c>
      <c r="Q71" s="235">
        <f>IF(ISERROR(N71/I71),"",ROUND(N71/I71*100,2))</f>
        <v>0</v>
      </c>
      <c r="R71" s="322">
        <f>IF(ISERROR(P71/I71),"",ROUND(P71/I71*100,2))</f>
        <v>0</v>
      </c>
      <c r="S71" s="181"/>
      <c r="T71" s="205"/>
    </row>
    <row r="72" spans="1:20" ht="13.8">
      <c r="A72" s="239">
        <f>1+A71</f>
        <v>52</v>
      </c>
      <c r="B72" s="8" t="s">
        <v>64</v>
      </c>
      <c r="C72" s="218" t="s">
        <v>67</v>
      </c>
      <c r="D72" s="217">
        <v>1497.96</v>
      </c>
      <c r="E72" s="217">
        <v>1</v>
      </c>
      <c r="F72" s="231">
        <f>D72*E72</f>
        <v>1497.96</v>
      </c>
      <c r="G72" s="320">
        <f>+H72-E72</f>
        <v>0</v>
      </c>
      <c r="H72" s="238">
        <v>1</v>
      </c>
      <c r="I72" s="238">
        <f>+H72*D72</f>
        <v>1497.96</v>
      </c>
      <c r="J72" s="237"/>
      <c r="K72" s="236"/>
      <c r="L72" s="321"/>
      <c r="M72" s="235"/>
      <c r="N72" s="235">
        <f t="shared" si="37"/>
        <v>0</v>
      </c>
      <c r="O72" s="235">
        <f t="shared" si="38"/>
        <v>0</v>
      </c>
      <c r="P72" s="321">
        <f t="shared" si="39"/>
        <v>0</v>
      </c>
      <c r="Q72" s="235">
        <f>IF(ISERROR(N72/I72),"",ROUND(N72/I72*100,2))</f>
        <v>0</v>
      </c>
      <c r="R72" s="322">
        <f>IF(ISERROR(P72/I72),"",ROUND(P72/I72*100,2))</f>
        <v>0</v>
      </c>
      <c r="S72" s="181"/>
      <c r="T72" s="205"/>
    </row>
    <row r="73" spans="1:20" ht="13.8">
      <c r="A73" s="239">
        <f>1+A72</f>
        <v>53</v>
      </c>
      <c r="B73" s="8" t="s">
        <v>65</v>
      </c>
      <c r="C73" s="218" t="s">
        <v>67</v>
      </c>
      <c r="D73" s="217">
        <v>276.64</v>
      </c>
      <c r="E73" s="217">
        <v>26</v>
      </c>
      <c r="F73" s="231">
        <f>D73*E73</f>
        <v>7192.64</v>
      </c>
      <c r="G73" s="320">
        <f>+H73-E73</f>
        <v>0</v>
      </c>
      <c r="H73" s="238">
        <v>26</v>
      </c>
      <c r="I73" s="238">
        <f>+H73*D73</f>
        <v>7192.64</v>
      </c>
      <c r="J73" s="237"/>
      <c r="K73" s="236"/>
      <c r="L73" s="321"/>
      <c r="M73" s="235"/>
      <c r="N73" s="235">
        <f t="shared" si="37"/>
        <v>0</v>
      </c>
      <c r="O73" s="235">
        <f t="shared" si="38"/>
        <v>0</v>
      </c>
      <c r="P73" s="321">
        <f t="shared" si="39"/>
        <v>0</v>
      </c>
      <c r="Q73" s="235">
        <f>IF(ISERROR(N73/I73),"",ROUND(N73/I73*100,2))</f>
        <v>0</v>
      </c>
      <c r="R73" s="322">
        <f>IF(ISERROR(P73/I73),"",ROUND(P73/I73*100,2))</f>
        <v>0</v>
      </c>
      <c r="S73" s="181"/>
      <c r="T73" s="205"/>
    </row>
    <row r="74" spans="1:20" ht="13.8">
      <c r="A74" s="323">
        <f>1+A73</f>
        <v>54</v>
      </c>
      <c r="B74" s="9" t="s">
        <v>66</v>
      </c>
      <c r="C74" s="214" t="s">
        <v>67</v>
      </c>
      <c r="D74" s="213">
        <v>235.45</v>
      </c>
      <c r="E74" s="213">
        <v>98</v>
      </c>
      <c r="F74" s="230">
        <f>D74*E74</f>
        <v>23074.1</v>
      </c>
      <c r="G74" s="324">
        <f>+H74-E74</f>
        <v>0</v>
      </c>
      <c r="H74" s="325">
        <v>98</v>
      </c>
      <c r="I74" s="325">
        <f>+H74*D74</f>
        <v>23074.1</v>
      </c>
      <c r="J74" s="326"/>
      <c r="K74" s="331"/>
      <c r="L74" s="327"/>
      <c r="M74" s="328"/>
      <c r="N74" s="328">
        <f t="shared" si="37"/>
        <v>0</v>
      </c>
      <c r="O74" s="328">
        <f t="shared" si="38"/>
        <v>0</v>
      </c>
      <c r="P74" s="327">
        <f t="shared" si="39"/>
        <v>0</v>
      </c>
      <c r="Q74" s="328">
        <f>IF(ISERROR(N74/I74),"",ROUND(N74/I74*100,2))</f>
        <v>0</v>
      </c>
      <c r="R74" s="329">
        <f>IF(ISERROR(P74/I74),"",ROUND(P74/I74*100,2))</f>
        <v>0</v>
      </c>
      <c r="S74" s="181"/>
      <c r="T74" s="205"/>
    </row>
    <row r="75" spans="1:20" ht="13.8">
      <c r="A75" s="229"/>
      <c r="B75" s="228" t="s">
        <v>68</v>
      </c>
      <c r="C75" s="227"/>
      <c r="D75" s="226"/>
      <c r="E75" s="226"/>
      <c r="F75" s="225"/>
      <c r="G75" s="226"/>
      <c r="H75" s="225"/>
      <c r="I75" s="225"/>
      <c r="J75" s="224"/>
      <c r="K75" s="223"/>
      <c r="L75" s="221"/>
      <c r="M75" s="221"/>
      <c r="N75" s="221"/>
      <c r="O75" s="221"/>
      <c r="P75" s="222"/>
      <c r="Q75" s="221"/>
      <c r="R75" s="220"/>
      <c r="S75" s="181"/>
      <c r="T75" s="205"/>
    </row>
    <row r="76" spans="1:20" ht="13.8">
      <c r="A76" s="313">
        <v>65</v>
      </c>
      <c r="B76" s="241" t="s">
        <v>69</v>
      </c>
      <c r="C76" s="234" t="s">
        <v>75</v>
      </c>
      <c r="D76" s="233">
        <v>412.06</v>
      </c>
      <c r="E76" s="233">
        <v>10</v>
      </c>
      <c r="F76" s="240">
        <f t="shared" ref="F76:F81" si="40">D76*E76</f>
        <v>4120.6000000000004</v>
      </c>
      <c r="G76" s="314">
        <f t="shared" ref="G76:G81" si="41">+H76-E76</f>
        <v>0</v>
      </c>
      <c r="H76" s="315">
        <v>10</v>
      </c>
      <c r="I76" s="315">
        <f t="shared" ref="I76:I81" si="42">+H76*D76</f>
        <v>4120.6000000000004</v>
      </c>
      <c r="J76" s="330"/>
      <c r="K76" s="332"/>
      <c r="L76" s="317"/>
      <c r="M76" s="317"/>
      <c r="N76" s="317">
        <f t="shared" ref="N76:N81" si="43">ROUND(M76*D76,2)</f>
        <v>0</v>
      </c>
      <c r="O76" s="317">
        <f t="shared" ref="O76:O81" si="44">M76+K76</f>
        <v>0</v>
      </c>
      <c r="P76" s="318">
        <f t="shared" ref="P76:P81" si="45">L76+N76</f>
        <v>0</v>
      </c>
      <c r="Q76" s="317">
        <f t="shared" ref="Q76:Q82" si="46">IF(ISERROR(N76/I76),"",ROUND(N76/I76*100,2))</f>
        <v>0</v>
      </c>
      <c r="R76" s="319">
        <f t="shared" ref="R76:R82" si="47">IF(ISERROR(P76/I76),"",ROUND(P76/I76*100,2))</f>
        <v>0</v>
      </c>
      <c r="S76" s="181"/>
      <c r="T76" s="205"/>
    </row>
    <row r="77" spans="1:20" ht="13.8">
      <c r="A77" s="239">
        <v>69</v>
      </c>
      <c r="B77" s="219" t="s">
        <v>70</v>
      </c>
      <c r="C77" s="218" t="s">
        <v>10</v>
      </c>
      <c r="D77" s="217">
        <v>337.66</v>
      </c>
      <c r="E77" s="217">
        <v>460.72</v>
      </c>
      <c r="F77" s="216">
        <f t="shared" si="40"/>
        <v>155566.72</v>
      </c>
      <c r="G77" s="320">
        <f t="shared" si="41"/>
        <v>189.38</v>
      </c>
      <c r="H77" s="238">
        <v>650.1</v>
      </c>
      <c r="I77" s="238">
        <f t="shared" si="42"/>
        <v>219512.77</v>
      </c>
      <c r="J77" s="237"/>
      <c r="K77" s="238"/>
      <c r="L77" s="321"/>
      <c r="M77" s="235">
        <v>460.72</v>
      </c>
      <c r="N77" s="235">
        <f t="shared" si="43"/>
        <v>155566.72</v>
      </c>
      <c r="O77" s="235">
        <f t="shared" si="44"/>
        <v>460.72</v>
      </c>
      <c r="P77" s="321">
        <f t="shared" si="45"/>
        <v>155566.72</v>
      </c>
      <c r="Q77" s="235">
        <f t="shared" si="46"/>
        <v>70.87</v>
      </c>
      <c r="R77" s="322">
        <f t="shared" si="47"/>
        <v>70.87</v>
      </c>
      <c r="S77" s="181"/>
      <c r="T77" s="205"/>
    </row>
    <row r="78" spans="1:20" ht="13.8">
      <c r="A78" s="239">
        <f>1+A77</f>
        <v>70</v>
      </c>
      <c r="B78" s="219" t="s">
        <v>71</v>
      </c>
      <c r="C78" s="218" t="s">
        <v>18</v>
      </c>
      <c r="D78" s="217">
        <v>11160.89</v>
      </c>
      <c r="E78" s="217">
        <v>0.2</v>
      </c>
      <c r="F78" s="216">
        <f t="shared" si="40"/>
        <v>2232.1799999999998</v>
      </c>
      <c r="G78" s="320">
        <f t="shared" si="41"/>
        <v>0</v>
      </c>
      <c r="H78" s="238">
        <v>0.2</v>
      </c>
      <c r="I78" s="238">
        <f t="shared" si="42"/>
        <v>2232.1799999999998</v>
      </c>
      <c r="J78" s="237"/>
      <c r="K78" s="236"/>
      <c r="L78" s="235"/>
      <c r="M78" s="235"/>
      <c r="N78" s="235">
        <f t="shared" si="43"/>
        <v>0</v>
      </c>
      <c r="O78" s="235">
        <f t="shared" si="44"/>
        <v>0</v>
      </c>
      <c r="P78" s="321">
        <f t="shared" si="45"/>
        <v>0</v>
      </c>
      <c r="Q78" s="235">
        <f t="shared" si="46"/>
        <v>0</v>
      </c>
      <c r="R78" s="322">
        <f t="shared" si="47"/>
        <v>0</v>
      </c>
      <c r="S78" s="181"/>
      <c r="T78" s="205"/>
    </row>
    <row r="79" spans="1:20" ht="13.8">
      <c r="A79" s="239">
        <f>1+A78</f>
        <v>71</v>
      </c>
      <c r="B79" s="219" t="s">
        <v>72</v>
      </c>
      <c r="C79" s="218" t="s">
        <v>25</v>
      </c>
      <c r="D79" s="217">
        <v>3424.36</v>
      </c>
      <c r="E79" s="217">
        <v>5.57</v>
      </c>
      <c r="F79" s="216">
        <f t="shared" si="40"/>
        <v>19073.689999999999</v>
      </c>
      <c r="G79" s="320">
        <f t="shared" si="41"/>
        <v>0</v>
      </c>
      <c r="H79" s="238">
        <v>5.57</v>
      </c>
      <c r="I79" s="238">
        <f t="shared" si="42"/>
        <v>19073.689999999999</v>
      </c>
      <c r="J79" s="237"/>
      <c r="K79" s="236"/>
      <c r="L79" s="235"/>
      <c r="M79" s="235"/>
      <c r="N79" s="235">
        <f t="shared" si="43"/>
        <v>0</v>
      </c>
      <c r="O79" s="235">
        <f t="shared" si="44"/>
        <v>0</v>
      </c>
      <c r="P79" s="321">
        <f t="shared" si="45"/>
        <v>0</v>
      </c>
      <c r="Q79" s="235">
        <f t="shared" si="46"/>
        <v>0</v>
      </c>
      <c r="R79" s="322">
        <f t="shared" si="47"/>
        <v>0</v>
      </c>
      <c r="S79" s="181"/>
      <c r="T79" s="205"/>
    </row>
    <row r="80" spans="1:20" ht="13.8">
      <c r="A80" s="239">
        <f>1+A79</f>
        <v>72</v>
      </c>
      <c r="B80" s="219" t="s">
        <v>73</v>
      </c>
      <c r="C80" s="218" t="s">
        <v>25</v>
      </c>
      <c r="D80" s="217">
        <v>5452.74</v>
      </c>
      <c r="E80" s="217">
        <v>4.78</v>
      </c>
      <c r="F80" s="216">
        <f t="shared" si="40"/>
        <v>26064.1</v>
      </c>
      <c r="G80" s="320">
        <f t="shared" si="41"/>
        <v>0</v>
      </c>
      <c r="H80" s="238">
        <v>4.78</v>
      </c>
      <c r="I80" s="238">
        <f t="shared" si="42"/>
        <v>26064.1</v>
      </c>
      <c r="J80" s="237"/>
      <c r="K80" s="236"/>
      <c r="L80" s="235"/>
      <c r="M80" s="235"/>
      <c r="N80" s="235">
        <f t="shared" si="43"/>
        <v>0</v>
      </c>
      <c r="O80" s="235">
        <f t="shared" si="44"/>
        <v>0</v>
      </c>
      <c r="P80" s="321">
        <f t="shared" si="45"/>
        <v>0</v>
      </c>
      <c r="Q80" s="235">
        <f t="shared" si="46"/>
        <v>0</v>
      </c>
      <c r="R80" s="322">
        <f t="shared" si="47"/>
        <v>0</v>
      </c>
      <c r="S80" s="181"/>
      <c r="T80" s="205"/>
    </row>
    <row r="81" spans="1:21" ht="13.8">
      <c r="A81" s="323">
        <v>74</v>
      </c>
      <c r="B81" s="215" t="s">
        <v>74</v>
      </c>
      <c r="C81" s="214" t="s">
        <v>18</v>
      </c>
      <c r="D81" s="213">
        <v>6376.18</v>
      </c>
      <c r="E81" s="213">
        <v>0.4</v>
      </c>
      <c r="F81" s="212">
        <f t="shared" si="40"/>
        <v>2550.4699999999998</v>
      </c>
      <c r="G81" s="324">
        <f t="shared" si="41"/>
        <v>0</v>
      </c>
      <c r="H81" s="325">
        <v>0.4</v>
      </c>
      <c r="I81" s="325">
        <f t="shared" si="42"/>
        <v>2550.4699999999998</v>
      </c>
      <c r="J81" s="326"/>
      <c r="K81" s="328"/>
      <c r="L81" s="328"/>
      <c r="M81" s="328"/>
      <c r="N81" s="328">
        <f t="shared" si="43"/>
        <v>0</v>
      </c>
      <c r="O81" s="328">
        <f t="shared" si="44"/>
        <v>0</v>
      </c>
      <c r="P81" s="327">
        <f t="shared" si="45"/>
        <v>0</v>
      </c>
      <c r="Q81" s="328">
        <f t="shared" si="46"/>
        <v>0</v>
      </c>
      <c r="R81" s="329">
        <f t="shared" si="47"/>
        <v>0</v>
      </c>
      <c r="S81" s="181"/>
      <c r="T81" s="205"/>
    </row>
    <row r="82" spans="1:21" ht="13.8">
      <c r="A82" s="333"/>
      <c r="B82" s="259"/>
      <c r="C82" s="227"/>
      <c r="D82" s="226"/>
      <c r="E82" s="334"/>
      <c r="F82" s="225"/>
      <c r="G82" s="226"/>
      <c r="H82" s="225"/>
      <c r="I82" s="225"/>
      <c r="J82" s="226"/>
      <c r="K82" s="221"/>
      <c r="L82" s="221"/>
      <c r="M82" s="221"/>
      <c r="N82" s="221"/>
      <c r="O82" s="221"/>
      <c r="P82" s="222"/>
      <c r="Q82" s="221" t="str">
        <f t="shared" si="46"/>
        <v/>
      </c>
      <c r="R82" s="335" t="str">
        <f t="shared" si="47"/>
        <v/>
      </c>
    </row>
    <row r="83" spans="1:21">
      <c r="A83" s="771" t="s">
        <v>16</v>
      </c>
      <c r="B83" s="772"/>
      <c r="C83" s="772"/>
      <c r="D83" s="772"/>
      <c r="E83" s="204"/>
      <c r="F83" s="211">
        <f>SUM(F16:F81)</f>
        <v>16903840.539999999</v>
      </c>
      <c r="G83" s="204"/>
      <c r="H83" s="210"/>
      <c r="I83" s="209">
        <f>SUM(I16:I81)</f>
        <v>16903840.539999999</v>
      </c>
      <c r="J83" s="204"/>
      <c r="K83" s="204"/>
      <c r="L83" s="204">
        <f>ROUND(SUM(L16:L82),2)</f>
        <v>0</v>
      </c>
      <c r="M83" s="204"/>
      <c r="N83" s="204">
        <f>SUM(N16:N82)</f>
        <v>1748294.44</v>
      </c>
      <c r="O83" s="204" t="str">
        <f>IF(M83+K83=0,"",M83+K83)</f>
        <v/>
      </c>
      <c r="P83" s="204">
        <f>ROUND(SUM(P16:P82),2)</f>
        <v>1748294.44</v>
      </c>
      <c r="Q83" s="208">
        <f>+N83/I83*100</f>
        <v>10.34</v>
      </c>
      <c r="R83" s="208"/>
      <c r="S83" s="207"/>
      <c r="T83" s="206"/>
      <c r="U83" s="205"/>
    </row>
    <row r="84" spans="1:21">
      <c r="A84" s="184"/>
      <c r="B84" s="184"/>
      <c r="C84" s="184"/>
      <c r="D84" s="184"/>
      <c r="E84" s="184"/>
      <c r="F84" s="203"/>
      <c r="G84" s="184"/>
      <c r="H84" s="184"/>
      <c r="I84" s="190"/>
      <c r="J84" s="346"/>
      <c r="K84" s="193"/>
      <c r="L84" s="192"/>
      <c r="M84" s="193"/>
      <c r="N84" s="196"/>
      <c r="O84" s="193"/>
      <c r="P84" s="192"/>
      <c r="Q84" s="184"/>
      <c r="R84" s="202"/>
    </row>
    <row r="85" spans="1:21">
      <c r="A85" s="184"/>
      <c r="B85" s="184"/>
      <c r="C85" s="184"/>
      <c r="D85" s="184"/>
      <c r="E85" s="184"/>
      <c r="F85" s="184"/>
      <c r="G85" s="184"/>
      <c r="H85" s="184"/>
      <c r="I85" s="190"/>
      <c r="J85" s="346"/>
      <c r="K85" s="193"/>
      <c r="L85" s="192"/>
      <c r="M85" s="193"/>
      <c r="N85" s="196"/>
      <c r="O85" s="193"/>
      <c r="P85" s="192"/>
      <c r="Q85" s="201"/>
      <c r="R85" s="184"/>
    </row>
    <row r="86" spans="1:21">
      <c r="A86" s="184"/>
      <c r="B86" s="184"/>
      <c r="C86" s="184"/>
      <c r="D86" s="184"/>
      <c r="E86" s="184"/>
      <c r="F86" s="200"/>
      <c r="G86" s="184"/>
      <c r="H86" s="184"/>
      <c r="I86" s="184"/>
      <c r="J86" s="346"/>
      <c r="K86" s="193"/>
      <c r="L86" s="192"/>
      <c r="M86" s="193"/>
      <c r="N86" s="199"/>
      <c r="O86" s="198"/>
      <c r="P86" s="197"/>
      <c r="Q86" s="184"/>
      <c r="R86" s="184"/>
    </row>
    <row r="87" spans="1:21">
      <c r="A87" s="184"/>
      <c r="B87" s="184"/>
      <c r="C87" s="184"/>
      <c r="D87" s="184"/>
      <c r="E87" s="184"/>
      <c r="F87" s="185"/>
      <c r="G87" s="184"/>
      <c r="H87" s="184"/>
      <c r="I87" s="184"/>
      <c r="J87" s="346"/>
      <c r="K87" s="193"/>
      <c r="L87" s="192"/>
      <c r="M87" s="193"/>
      <c r="N87" s="196"/>
      <c r="O87" s="193"/>
      <c r="P87" s="192"/>
      <c r="Q87" s="184"/>
      <c r="R87" s="184"/>
    </row>
    <row r="88" spans="1:21">
      <c r="A88" s="184"/>
      <c r="B88" s="184"/>
      <c r="C88" s="184"/>
      <c r="D88" s="184"/>
      <c r="E88" s="184"/>
      <c r="F88" s="184"/>
      <c r="G88" s="190"/>
      <c r="H88" s="184"/>
      <c r="I88" s="184"/>
      <c r="J88" s="346"/>
      <c r="K88" s="193"/>
      <c r="L88" s="195"/>
      <c r="M88" s="193"/>
      <c r="N88" s="195"/>
      <c r="O88" s="193"/>
      <c r="P88" s="195"/>
      <c r="Q88" s="194"/>
      <c r="R88" s="193"/>
    </row>
    <row r="89" spans="1:21">
      <c r="A89" s="184"/>
      <c r="B89" s="184"/>
      <c r="C89" s="184"/>
      <c r="D89" s="184"/>
      <c r="E89" s="184"/>
      <c r="F89" s="184"/>
      <c r="G89" s="190"/>
      <c r="H89" s="184"/>
      <c r="I89" s="184"/>
      <c r="J89" s="346"/>
      <c r="K89" s="193"/>
      <c r="L89" s="195"/>
      <c r="M89" s="193"/>
      <c r="N89" s="195"/>
      <c r="O89" s="193"/>
      <c r="P89" s="195"/>
      <c r="Q89" s="194"/>
      <c r="R89" s="193"/>
    </row>
    <row r="90" spans="1:21">
      <c r="A90" s="184"/>
      <c r="B90" s="184"/>
      <c r="C90" s="184"/>
      <c r="D90" s="184"/>
      <c r="E90" s="184"/>
      <c r="F90" s="184"/>
      <c r="G90" s="190"/>
      <c r="H90" s="184"/>
      <c r="I90" s="184"/>
      <c r="J90" s="346"/>
      <c r="K90" s="193"/>
      <c r="L90" s="195"/>
      <c r="M90" s="193"/>
      <c r="N90" s="195"/>
      <c r="O90" s="193"/>
      <c r="P90" s="195"/>
      <c r="Q90" s="194"/>
      <c r="R90" s="193"/>
    </row>
    <row r="91" spans="1:21">
      <c r="A91" s="184"/>
      <c r="B91" s="184"/>
      <c r="C91" s="184"/>
      <c r="D91" s="184"/>
      <c r="E91" s="184"/>
      <c r="F91" s="184"/>
      <c r="G91" s="190"/>
      <c r="H91" s="184"/>
      <c r="I91" s="184"/>
      <c r="J91" s="346"/>
      <c r="K91" s="193"/>
      <c r="L91" s="195"/>
      <c r="M91" s="193"/>
      <c r="N91" s="195"/>
      <c r="O91" s="193"/>
      <c r="P91" s="195"/>
      <c r="Q91" s="194"/>
      <c r="R91" s="193"/>
    </row>
    <row r="92" spans="1:21">
      <c r="A92" s="184"/>
      <c r="B92" s="184"/>
      <c r="C92" s="184"/>
      <c r="D92" s="184"/>
      <c r="E92" s="184"/>
      <c r="F92" s="184"/>
      <c r="G92" s="190"/>
      <c r="H92" s="184"/>
      <c r="I92" s="184"/>
      <c r="J92" s="346"/>
      <c r="K92" s="193"/>
      <c r="L92" s="195"/>
      <c r="M92" s="193"/>
      <c r="N92" s="195"/>
      <c r="O92" s="193"/>
      <c r="P92" s="195"/>
      <c r="Q92" s="194"/>
      <c r="R92" s="193"/>
    </row>
    <row r="93" spans="1:21">
      <c r="A93" s="184"/>
      <c r="B93" s="184"/>
      <c r="C93" s="184"/>
      <c r="D93" s="184"/>
      <c r="E93" s="184"/>
      <c r="F93" s="184"/>
      <c r="G93" s="190"/>
      <c r="H93" s="184"/>
      <c r="I93" s="184"/>
      <c r="J93" s="346"/>
      <c r="K93" s="193"/>
      <c r="L93" s="195"/>
      <c r="M93" s="193"/>
      <c r="N93" s="195"/>
      <c r="O93" s="193"/>
      <c r="P93" s="195"/>
      <c r="Q93" s="194"/>
      <c r="R93" s="193"/>
    </row>
    <row r="94" spans="1:21">
      <c r="A94" s="184"/>
      <c r="B94" s="184"/>
      <c r="C94" s="184"/>
      <c r="D94" s="184"/>
      <c r="E94" s="184"/>
      <c r="F94" s="184"/>
      <c r="G94" s="190"/>
      <c r="H94" s="184"/>
      <c r="I94" s="184"/>
      <c r="J94" s="346"/>
      <c r="K94" s="193"/>
      <c r="L94" s="195"/>
      <c r="M94" s="193"/>
      <c r="N94" s="195"/>
      <c r="O94" s="193"/>
      <c r="P94" s="195"/>
      <c r="Q94" s="194"/>
      <c r="R94" s="193"/>
    </row>
    <row r="95" spans="1:21">
      <c r="A95" s="184"/>
      <c r="B95" s="184"/>
      <c r="C95" s="184"/>
      <c r="D95" s="184"/>
      <c r="E95" s="184"/>
      <c r="F95" s="184"/>
      <c r="G95" s="190"/>
      <c r="H95" s="184"/>
      <c r="I95" s="184"/>
      <c r="J95" s="346"/>
      <c r="K95" s="193"/>
      <c r="L95" s="195"/>
      <c r="M95" s="193"/>
      <c r="N95" s="195"/>
      <c r="O95" s="193"/>
      <c r="P95" s="195"/>
      <c r="Q95" s="194"/>
      <c r="R95" s="193"/>
    </row>
    <row r="96" spans="1:21">
      <c r="A96" s="184"/>
      <c r="B96" s="184"/>
      <c r="C96" s="184"/>
      <c r="D96" s="184"/>
      <c r="E96" s="184"/>
      <c r="F96" s="184"/>
      <c r="G96" s="190"/>
      <c r="H96" s="184"/>
      <c r="I96" s="184"/>
      <c r="J96" s="346"/>
      <c r="K96" s="193"/>
      <c r="L96" s="195"/>
      <c r="M96" s="193"/>
      <c r="N96" s="195"/>
      <c r="O96" s="193"/>
      <c r="P96" s="195"/>
      <c r="Q96" s="194"/>
      <c r="R96" s="193"/>
    </row>
    <row r="97" spans="1:18">
      <c r="A97" s="184"/>
      <c r="B97" s="184"/>
      <c r="C97" s="184"/>
      <c r="D97" s="184"/>
      <c r="E97" s="184"/>
      <c r="F97" s="184"/>
      <c r="G97" s="184"/>
      <c r="H97" s="184"/>
      <c r="I97" s="184"/>
      <c r="J97" s="346"/>
      <c r="K97" s="193"/>
      <c r="L97" s="192"/>
      <c r="M97" s="193"/>
      <c r="N97" s="192"/>
      <c r="O97" s="193"/>
      <c r="P97" s="192"/>
      <c r="Q97" s="190"/>
      <c r="R97" s="184"/>
    </row>
    <row r="98" spans="1:18">
      <c r="A98" s="191"/>
      <c r="B98" s="184"/>
      <c r="C98" s="184"/>
      <c r="D98" s="184"/>
      <c r="E98" s="184"/>
      <c r="F98" s="189"/>
      <c r="G98" s="184"/>
      <c r="H98" s="184"/>
      <c r="I98" s="184"/>
      <c r="J98" s="346"/>
      <c r="K98" s="184"/>
      <c r="L98" s="190"/>
      <c r="M98" s="184"/>
      <c r="N98" s="184"/>
      <c r="O98" s="184"/>
      <c r="P98" s="185"/>
      <c r="Q98" s="184"/>
      <c r="R98" s="184"/>
    </row>
    <row r="99" spans="1:18">
      <c r="A99" s="184"/>
      <c r="B99" s="184"/>
      <c r="C99" s="184"/>
      <c r="D99" s="184"/>
      <c r="E99" s="184"/>
      <c r="F99" s="189"/>
      <c r="G99" s="184"/>
      <c r="H99" s="184"/>
      <c r="I99" s="184"/>
      <c r="J99" s="346"/>
      <c r="K99" s="184"/>
      <c r="L99" s="188"/>
      <c r="M99" s="184"/>
      <c r="N99" s="187"/>
      <c r="O99" s="184"/>
      <c r="P99" s="186"/>
      <c r="Q99" s="185"/>
      <c r="R99" s="184"/>
    </row>
    <row r="100" spans="1:18">
      <c r="A100" s="184"/>
      <c r="B100" s="184"/>
      <c r="C100" s="184"/>
      <c r="D100" s="184"/>
      <c r="E100" s="184"/>
      <c r="F100" s="184"/>
      <c r="G100" s="184"/>
      <c r="H100" s="184"/>
      <c r="I100" s="184"/>
      <c r="J100" s="346"/>
      <c r="K100" s="184"/>
      <c r="L100" s="184"/>
      <c r="M100" s="184"/>
      <c r="N100" s="185"/>
      <c r="O100" s="184"/>
      <c r="P100" s="184"/>
      <c r="Q100" s="184"/>
      <c r="R100" s="184"/>
    </row>
    <row r="101" spans="1:18">
      <c r="A101" s="184"/>
      <c r="B101" s="184"/>
      <c r="C101" s="184"/>
      <c r="D101" s="184"/>
      <c r="E101" s="184"/>
      <c r="F101" s="184"/>
      <c r="G101" s="184"/>
      <c r="H101" s="184"/>
      <c r="I101" s="184"/>
      <c r="J101" s="346"/>
      <c r="K101" s="184"/>
      <c r="L101" s="184"/>
      <c r="M101" s="184"/>
      <c r="N101" s="184"/>
      <c r="O101" s="184"/>
      <c r="P101" s="184"/>
      <c r="Q101" s="184"/>
      <c r="R101" s="184"/>
    </row>
    <row r="103" spans="1:18" ht="24.75" customHeight="1"/>
    <row r="104" spans="1:18">
      <c r="N104" s="183"/>
    </row>
    <row r="105" spans="1:18">
      <c r="F105" s="181"/>
      <c r="N105" s="182"/>
      <c r="O105" s="182"/>
    </row>
    <row r="106" spans="1:18">
      <c r="N106" s="181"/>
    </row>
    <row r="109" spans="1:18">
      <c r="F109" s="180"/>
    </row>
    <row r="110" spans="1:18">
      <c r="F110" s="179"/>
    </row>
    <row r="111" spans="1:18">
      <c r="E111" s="178"/>
    </row>
    <row r="112" spans="1:18">
      <c r="E112" s="177"/>
    </row>
    <row r="113" spans="5:5">
      <c r="E113" s="177"/>
    </row>
  </sheetData>
  <mergeCells count="34">
    <mergeCell ref="D10:R10"/>
    <mergeCell ref="A1:R1"/>
    <mergeCell ref="A2:R2"/>
    <mergeCell ref="A3:B3"/>
    <mergeCell ref="C3:R3"/>
    <mergeCell ref="A4:B4"/>
    <mergeCell ref="C4:R4"/>
    <mergeCell ref="D5:R5"/>
    <mergeCell ref="D6:R6"/>
    <mergeCell ref="D7:R7"/>
    <mergeCell ref="D8:R8"/>
    <mergeCell ref="D9:R9"/>
    <mergeCell ref="D11:R11"/>
    <mergeCell ref="A12:A14"/>
    <mergeCell ref="B12:B14"/>
    <mergeCell ref="C12:F12"/>
    <mergeCell ref="G12:J12"/>
    <mergeCell ref="K12:L12"/>
    <mergeCell ref="M12:N12"/>
    <mergeCell ref="O12:P12"/>
    <mergeCell ref="Q12:R12"/>
    <mergeCell ref="C13:D13"/>
    <mergeCell ref="K13:K14"/>
    <mergeCell ref="M13:M14"/>
    <mergeCell ref="O13:O14"/>
    <mergeCell ref="Q13:Q14"/>
    <mergeCell ref="R13:R14"/>
    <mergeCell ref="I13:I14"/>
    <mergeCell ref="J13:J14"/>
    <mergeCell ref="A83:D83"/>
    <mergeCell ref="E13:E14"/>
    <mergeCell ref="F13:F14"/>
    <mergeCell ref="G13:G14"/>
    <mergeCell ref="H13:H14"/>
  </mergeCells>
  <conditionalFormatting sqref="A15:R81">
    <cfRule type="expression" dxfId="9" priority="1">
      <formula>IF($M15&gt;0,1,0)</formula>
    </cfRule>
  </conditionalFormatting>
  <printOptions horizontalCentered="1"/>
  <pageMargins left="3.937007874015748E-2" right="0" top="0.43307086614173229" bottom="0.19685039370078741" header="0" footer="0"/>
  <pageSetup scale="57" fitToHeight="0" orientation="landscape" horizontalDpi="4294967293" r:id="rId1"/>
  <headerFooter scaleWithDoc="0" alignWithMargins="0"/>
  <rowBreaks count="1" manualBreakCount="1">
    <brk id="68" min="1" max="17" man="1"/>
  </rowBreaks>
  <colBreaks count="1" manualBreakCount="1">
    <brk id="18" max="1048575" man="1"/>
  </colBreaks>
  <ignoredErrors>
    <ignoredError sqref="I16:I81" unlocked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theme="8" tint="-0.249977111117893"/>
    <pageSetUpPr fitToPage="1"/>
  </sheetPr>
  <dimension ref="A1:AG113"/>
  <sheetViews>
    <sheetView showGridLines="0" view="pageBreakPreview" zoomScale="80" zoomScaleNormal="90" zoomScaleSheetLayoutView="80" zoomScalePageLayoutView="60" workbookViewId="0">
      <selection sqref="A1:R1"/>
    </sheetView>
  </sheetViews>
  <sheetFormatPr baseColWidth="10" defaultColWidth="11.44140625" defaultRowHeight="13.2"/>
  <cols>
    <col min="1" max="1" width="5.44140625" style="175" customWidth="1"/>
    <col min="2" max="2" width="53.44140625" style="175" customWidth="1"/>
    <col min="3" max="3" width="6.109375" style="175" customWidth="1"/>
    <col min="4" max="4" width="10.5546875" style="175" customWidth="1"/>
    <col min="5" max="5" width="10.88671875" style="175" customWidth="1"/>
    <col min="6" max="6" width="14.33203125" style="175" customWidth="1"/>
    <col min="7" max="7" width="10" style="175" customWidth="1"/>
    <col min="8" max="8" width="11.109375" style="175" customWidth="1"/>
    <col min="9" max="9" width="13.5546875" style="175" customWidth="1"/>
    <col min="10" max="10" width="8.6640625" style="347" customWidth="1"/>
    <col min="11" max="11" width="10.6640625" style="175" customWidth="1"/>
    <col min="12" max="12" width="13.88671875" style="175" customWidth="1"/>
    <col min="13" max="13" width="11.33203125" style="175" customWidth="1"/>
    <col min="14" max="14" width="15.6640625" style="175" customWidth="1"/>
    <col min="15" max="15" width="12.5546875" style="175" customWidth="1"/>
    <col min="16" max="16" width="13.6640625" style="175" customWidth="1"/>
    <col min="17" max="17" width="10.5546875" style="175" customWidth="1"/>
    <col min="18" max="18" width="10.109375" style="175" customWidth="1"/>
    <col min="19" max="19" width="20" style="175" customWidth="1"/>
    <col min="20" max="20" width="20" style="176" customWidth="1"/>
    <col min="21" max="21" width="20.33203125" style="176" customWidth="1"/>
    <col min="22" max="22" width="16" style="175" customWidth="1"/>
    <col min="23" max="23" width="11.44140625" style="175"/>
    <col min="24" max="24" width="23.44140625" style="175" customWidth="1"/>
    <col min="25" max="25" width="16.88671875" style="175" customWidth="1"/>
    <col min="26" max="16384" width="11.44140625" style="175"/>
  </cols>
  <sheetData>
    <row r="1" spans="1:25" s="276" customFormat="1" ht="23.25" customHeight="1">
      <c r="A1" s="790" t="s">
        <v>199</v>
      </c>
      <c r="B1" s="791"/>
      <c r="C1" s="791"/>
      <c r="D1" s="791"/>
      <c r="E1" s="791"/>
      <c r="F1" s="791"/>
      <c r="G1" s="791"/>
      <c r="H1" s="791"/>
      <c r="I1" s="791"/>
      <c r="J1" s="791"/>
      <c r="K1" s="791"/>
      <c r="L1" s="791"/>
      <c r="M1" s="791"/>
      <c r="N1" s="791"/>
      <c r="O1" s="791"/>
      <c r="P1" s="791"/>
      <c r="Q1" s="791"/>
      <c r="R1" s="792"/>
      <c r="T1" s="277"/>
      <c r="U1" s="277"/>
    </row>
    <row r="2" spans="1:25" s="2" customFormat="1" ht="18.75" customHeight="1">
      <c r="A2" s="793" t="str">
        <f>ANALISIS!A2:F2</f>
        <v>PROYECTO:  MEJORAMIENTO CAMINO ROSARIO DEL INGRE - MACHICOCA - IVOCA (FASE I)</v>
      </c>
      <c r="B2" s="794"/>
      <c r="C2" s="794"/>
      <c r="D2" s="794"/>
      <c r="E2" s="794"/>
      <c r="F2" s="794"/>
      <c r="G2" s="794"/>
      <c r="H2" s="794"/>
      <c r="I2" s="794"/>
      <c r="J2" s="794"/>
      <c r="K2" s="794"/>
      <c r="L2" s="794"/>
      <c r="M2" s="794"/>
      <c r="N2" s="794"/>
      <c r="O2" s="794"/>
      <c r="P2" s="794"/>
      <c r="Q2" s="794"/>
      <c r="R2" s="795"/>
      <c r="T2" s="6"/>
      <c r="U2" s="6"/>
    </row>
    <row r="3" spans="1:25" s="266" customFormat="1" ht="18.75" customHeight="1">
      <c r="A3" s="796" t="s">
        <v>9</v>
      </c>
      <c r="B3" s="719"/>
      <c r="C3" s="797" t="s">
        <v>78</v>
      </c>
      <c r="D3" s="797"/>
      <c r="E3" s="797"/>
      <c r="F3" s="797"/>
      <c r="G3" s="797"/>
      <c r="H3" s="797"/>
      <c r="I3" s="797"/>
      <c r="J3" s="797"/>
      <c r="K3" s="797"/>
      <c r="L3" s="797"/>
      <c r="M3" s="797"/>
      <c r="N3" s="797"/>
      <c r="O3" s="797"/>
      <c r="P3" s="797"/>
      <c r="Q3" s="797"/>
      <c r="R3" s="798"/>
      <c r="T3" s="267"/>
      <c r="U3" s="267"/>
    </row>
    <row r="4" spans="1:25" s="266" customFormat="1" ht="17.25" customHeight="1">
      <c r="A4" s="796" t="s">
        <v>15</v>
      </c>
      <c r="B4" s="719"/>
      <c r="C4" s="799" t="s">
        <v>77</v>
      </c>
      <c r="D4" s="799"/>
      <c r="E4" s="799"/>
      <c r="F4" s="799"/>
      <c r="G4" s="799"/>
      <c r="H4" s="799"/>
      <c r="I4" s="799"/>
      <c r="J4" s="799"/>
      <c r="K4" s="799"/>
      <c r="L4" s="799"/>
      <c r="M4" s="799"/>
      <c r="N4" s="799"/>
      <c r="O4" s="799"/>
      <c r="P4" s="799"/>
      <c r="Q4" s="799"/>
      <c r="R4" s="800"/>
      <c r="T4" s="267"/>
      <c r="U4" s="267"/>
    </row>
    <row r="5" spans="1:25" s="266" customFormat="1" ht="13.8">
      <c r="A5" s="274"/>
      <c r="B5" s="273" t="s">
        <v>11</v>
      </c>
      <c r="C5" s="272"/>
      <c r="D5" s="706">
        <v>43759</v>
      </c>
      <c r="E5" s="706"/>
      <c r="F5" s="706"/>
      <c r="G5" s="706"/>
      <c r="H5" s="706"/>
      <c r="I5" s="706"/>
      <c r="J5" s="706"/>
      <c r="K5" s="706"/>
      <c r="L5" s="706"/>
      <c r="M5" s="706"/>
      <c r="N5" s="706"/>
      <c r="O5" s="706"/>
      <c r="P5" s="706"/>
      <c r="Q5" s="706"/>
      <c r="R5" s="801"/>
      <c r="T5" s="267"/>
      <c r="U5" s="267"/>
    </row>
    <row r="6" spans="1:25" s="266" customFormat="1" ht="13.8">
      <c r="A6" s="270"/>
      <c r="B6" s="269" t="s">
        <v>12</v>
      </c>
      <c r="C6" s="271"/>
      <c r="D6" s="710" t="s">
        <v>85</v>
      </c>
      <c r="E6" s="710"/>
      <c r="F6" s="710"/>
      <c r="G6" s="710"/>
      <c r="H6" s="710"/>
      <c r="I6" s="710"/>
      <c r="J6" s="710"/>
      <c r="K6" s="710"/>
      <c r="L6" s="710"/>
      <c r="M6" s="710"/>
      <c r="N6" s="710"/>
      <c r="O6" s="710"/>
      <c r="P6" s="710"/>
      <c r="Q6" s="710"/>
      <c r="R6" s="789"/>
      <c r="T6" s="267"/>
      <c r="U6" s="267"/>
    </row>
    <row r="7" spans="1:25" s="266" customFormat="1" ht="13.8">
      <c r="A7" s="270"/>
      <c r="B7" s="269" t="s">
        <v>13</v>
      </c>
      <c r="C7" s="271"/>
      <c r="D7" s="708" t="s">
        <v>86</v>
      </c>
      <c r="E7" s="708"/>
      <c r="F7" s="708"/>
      <c r="G7" s="708"/>
      <c r="H7" s="708"/>
      <c r="I7" s="708"/>
      <c r="J7" s="708"/>
      <c r="K7" s="708"/>
      <c r="L7" s="708"/>
      <c r="M7" s="708"/>
      <c r="N7" s="708"/>
      <c r="O7" s="708"/>
      <c r="P7" s="708"/>
      <c r="Q7" s="708"/>
      <c r="R7" s="802"/>
      <c r="T7" s="267"/>
      <c r="U7" s="267"/>
    </row>
    <row r="8" spans="1:25" s="266" customFormat="1" ht="13.8">
      <c r="A8" s="270"/>
      <c r="B8" s="269" t="s">
        <v>14</v>
      </c>
      <c r="C8" s="271"/>
      <c r="D8" s="710">
        <f>600+D5</f>
        <v>44359</v>
      </c>
      <c r="E8" s="710"/>
      <c r="F8" s="710"/>
      <c r="G8" s="710"/>
      <c r="H8" s="710"/>
      <c r="I8" s="710"/>
      <c r="J8" s="710"/>
      <c r="K8" s="710"/>
      <c r="L8" s="710"/>
      <c r="M8" s="710"/>
      <c r="N8" s="710"/>
      <c r="O8" s="710"/>
      <c r="P8" s="710"/>
      <c r="Q8" s="710"/>
      <c r="R8" s="789"/>
      <c r="T8" s="267"/>
      <c r="U8" s="267"/>
    </row>
    <row r="9" spans="1:25" s="266" customFormat="1" ht="13.8">
      <c r="A9" s="270"/>
      <c r="B9" s="269" t="s">
        <v>88</v>
      </c>
      <c r="C9" s="271"/>
      <c r="D9" s="710" t="s">
        <v>87</v>
      </c>
      <c r="E9" s="710"/>
      <c r="F9" s="710"/>
      <c r="G9" s="710"/>
      <c r="H9" s="710"/>
      <c r="I9" s="710"/>
      <c r="J9" s="710"/>
      <c r="K9" s="710"/>
      <c r="L9" s="710"/>
      <c r="M9" s="710"/>
      <c r="N9" s="710"/>
      <c r="O9" s="710"/>
      <c r="P9" s="710"/>
      <c r="Q9" s="710"/>
      <c r="R9" s="789"/>
      <c r="T9" s="267"/>
      <c r="U9" s="267"/>
    </row>
    <row r="10" spans="1:25" s="266" customFormat="1" ht="13.8">
      <c r="A10" s="270"/>
      <c r="B10" s="269" t="s">
        <v>79</v>
      </c>
      <c r="C10" s="128"/>
      <c r="D10" s="710">
        <v>44570</v>
      </c>
      <c r="E10" s="710"/>
      <c r="F10" s="710"/>
      <c r="G10" s="710"/>
      <c r="H10" s="710"/>
      <c r="I10" s="710"/>
      <c r="J10" s="710"/>
      <c r="K10" s="710"/>
      <c r="L10" s="710"/>
      <c r="M10" s="710"/>
      <c r="N10" s="710"/>
      <c r="O10" s="710"/>
      <c r="P10" s="710"/>
      <c r="Q10" s="710"/>
      <c r="R10" s="789"/>
      <c r="T10" s="267"/>
      <c r="U10" s="267"/>
    </row>
    <row r="11" spans="1:25" s="266" customFormat="1" ht="13.8">
      <c r="A11" s="275"/>
      <c r="B11" s="268" t="s">
        <v>196</v>
      </c>
      <c r="C11" s="4"/>
      <c r="D11" s="775">
        <v>0</v>
      </c>
      <c r="E11" s="775"/>
      <c r="F11" s="775"/>
      <c r="G11" s="775"/>
      <c r="H11" s="775"/>
      <c r="I11" s="775"/>
      <c r="J11" s="775"/>
      <c r="K11" s="775"/>
      <c r="L11" s="775"/>
      <c r="M11" s="775"/>
      <c r="N11" s="775"/>
      <c r="O11" s="775"/>
      <c r="P11" s="775"/>
      <c r="Q11" s="775"/>
      <c r="R11" s="776"/>
      <c r="T11" s="267"/>
      <c r="U11" s="267"/>
    </row>
    <row r="12" spans="1:25" s="260" customFormat="1" ht="20.25" customHeight="1">
      <c r="A12" s="777" t="s">
        <v>2</v>
      </c>
      <c r="B12" s="728" t="s">
        <v>0</v>
      </c>
      <c r="C12" s="779" t="s">
        <v>3</v>
      </c>
      <c r="D12" s="779"/>
      <c r="E12" s="779"/>
      <c r="F12" s="779"/>
      <c r="G12" s="780" t="s">
        <v>80</v>
      </c>
      <c r="H12" s="781"/>
      <c r="I12" s="781"/>
      <c r="J12" s="782"/>
      <c r="K12" s="779" t="s">
        <v>195</v>
      </c>
      <c r="L12" s="779"/>
      <c r="M12" s="783" t="s">
        <v>194</v>
      </c>
      <c r="N12" s="784"/>
      <c r="O12" s="779" t="s">
        <v>161</v>
      </c>
      <c r="P12" s="779"/>
      <c r="Q12" s="785" t="s">
        <v>193</v>
      </c>
      <c r="R12" s="786"/>
      <c r="T12" s="261"/>
      <c r="U12" s="261"/>
    </row>
    <row r="13" spans="1:25" s="260" customFormat="1" ht="12.75" customHeight="1">
      <c r="A13" s="777"/>
      <c r="B13" s="728"/>
      <c r="C13" s="779" t="s">
        <v>5</v>
      </c>
      <c r="D13" s="779"/>
      <c r="E13" s="728" t="s">
        <v>1</v>
      </c>
      <c r="F13" s="728" t="s">
        <v>6</v>
      </c>
      <c r="G13" s="773" t="s">
        <v>81</v>
      </c>
      <c r="H13" s="773" t="s">
        <v>82</v>
      </c>
      <c r="I13" s="773" t="s">
        <v>192</v>
      </c>
      <c r="J13" s="729" t="s">
        <v>4</v>
      </c>
      <c r="K13" s="728" t="s">
        <v>1</v>
      </c>
      <c r="L13" s="265" t="s">
        <v>189</v>
      </c>
      <c r="M13" s="728" t="s">
        <v>1</v>
      </c>
      <c r="N13" s="265" t="s">
        <v>189</v>
      </c>
      <c r="O13" s="728" t="s">
        <v>1</v>
      </c>
      <c r="P13" s="265" t="s">
        <v>189</v>
      </c>
      <c r="Q13" s="728" t="s">
        <v>191</v>
      </c>
      <c r="R13" s="787" t="s">
        <v>190</v>
      </c>
      <c r="T13" s="261"/>
      <c r="U13" s="261"/>
    </row>
    <row r="14" spans="1:25" s="260" customFormat="1" ht="33.75" customHeight="1">
      <c r="A14" s="778"/>
      <c r="B14" s="729"/>
      <c r="C14" s="264" t="s">
        <v>7</v>
      </c>
      <c r="D14" s="264" t="s">
        <v>8</v>
      </c>
      <c r="E14" s="729"/>
      <c r="F14" s="729"/>
      <c r="G14" s="774"/>
      <c r="H14" s="774"/>
      <c r="I14" s="774"/>
      <c r="J14" s="770"/>
      <c r="K14" s="729"/>
      <c r="L14" s="264" t="s">
        <v>8</v>
      </c>
      <c r="M14" s="729"/>
      <c r="N14" s="264" t="s">
        <v>8</v>
      </c>
      <c r="O14" s="729"/>
      <c r="P14" s="264" t="s">
        <v>8</v>
      </c>
      <c r="Q14" s="729"/>
      <c r="R14" s="788" t="s">
        <v>188</v>
      </c>
      <c r="S14" s="263"/>
      <c r="T14" s="262"/>
      <c r="U14" s="261"/>
    </row>
    <row r="15" spans="1:25" ht="13.8">
      <c r="A15" s="229"/>
      <c r="B15" s="228" t="s">
        <v>26</v>
      </c>
      <c r="C15" s="227"/>
      <c r="D15" s="259"/>
      <c r="E15" s="259"/>
      <c r="F15" s="258"/>
      <c r="G15" s="226"/>
      <c r="H15" s="226"/>
      <c r="I15" s="226"/>
      <c r="J15" s="224"/>
      <c r="K15" s="258"/>
      <c r="L15" s="221"/>
      <c r="M15" s="221"/>
      <c r="N15" s="221"/>
      <c r="O15" s="221"/>
      <c r="P15" s="221"/>
      <c r="Q15" s="221"/>
      <c r="R15" s="220"/>
    </row>
    <row r="16" spans="1:25" ht="13.8">
      <c r="A16" s="313">
        <v>1</v>
      </c>
      <c r="B16" s="241" t="s">
        <v>17</v>
      </c>
      <c r="C16" s="234" t="s">
        <v>18</v>
      </c>
      <c r="D16" s="233">
        <v>47860.38</v>
      </c>
      <c r="E16" s="233">
        <v>0.5</v>
      </c>
      <c r="F16" s="240">
        <f t="shared" ref="F16:F21" si="0">D16*E16</f>
        <v>23930.19</v>
      </c>
      <c r="G16" s="314">
        <v>0</v>
      </c>
      <c r="H16" s="315">
        <v>0.5</v>
      </c>
      <c r="I16" s="315">
        <f t="shared" ref="I16:I21" si="1">+H16*D16</f>
        <v>23930.19</v>
      </c>
      <c r="J16" s="330"/>
      <c r="K16" s="317">
        <v>0.5</v>
      </c>
      <c r="L16" s="318">
        <v>23930.19</v>
      </c>
      <c r="M16" s="317"/>
      <c r="N16" s="318">
        <f t="shared" ref="N16:N21" si="2">ROUND(M16*D16,2)</f>
        <v>0</v>
      </c>
      <c r="O16" s="317">
        <f>M16+K16</f>
        <v>0.5</v>
      </c>
      <c r="P16" s="318">
        <f>L16+N16</f>
        <v>23930.19</v>
      </c>
      <c r="Q16" s="317">
        <f t="shared" ref="Q16:Q21" si="3">IF(ISERROR(N16/I16),"",ROUND(N16/I16*100,2))</f>
        <v>0</v>
      </c>
      <c r="R16" s="319">
        <f t="shared" ref="R16:R21" si="4">IF(ISERROR(P16/I16),"",ROUND(P16/I16*100,2))</f>
        <v>100</v>
      </c>
      <c r="S16" s="181"/>
      <c r="T16" s="205"/>
      <c r="W16" s="292"/>
      <c r="X16" s="292"/>
      <c r="Y16" s="294"/>
    </row>
    <row r="17" spans="1:33" ht="13.8">
      <c r="A17" s="239">
        <f>1+A16</f>
        <v>2</v>
      </c>
      <c r="B17" s="219" t="s">
        <v>19</v>
      </c>
      <c r="C17" s="218" t="s">
        <v>20</v>
      </c>
      <c r="D17" s="217">
        <v>4767.6099999999997</v>
      </c>
      <c r="E17" s="217">
        <v>5.57</v>
      </c>
      <c r="F17" s="216">
        <f t="shared" si="0"/>
        <v>26555.59</v>
      </c>
      <c r="G17" s="320">
        <f>+H17-E17</f>
        <v>0</v>
      </c>
      <c r="H17" s="238">
        <v>5.57</v>
      </c>
      <c r="I17" s="238">
        <f t="shared" si="1"/>
        <v>26555.59</v>
      </c>
      <c r="J17" s="237"/>
      <c r="K17" s="320">
        <v>5.57</v>
      </c>
      <c r="L17" s="321">
        <v>26555.59</v>
      </c>
      <c r="M17" s="235"/>
      <c r="N17" s="321">
        <f t="shared" si="2"/>
        <v>0</v>
      </c>
      <c r="O17" s="235">
        <f t="shared" ref="O17:O21" si="5">M17+K17</f>
        <v>5.57</v>
      </c>
      <c r="P17" s="321">
        <f t="shared" ref="P17:P21" si="6">L17+N17</f>
        <v>26555.59</v>
      </c>
      <c r="Q17" s="235">
        <f t="shared" si="3"/>
        <v>0</v>
      </c>
      <c r="R17" s="322">
        <f t="shared" si="4"/>
        <v>100</v>
      </c>
      <c r="S17" s="181"/>
      <c r="T17" s="205"/>
      <c r="W17" s="292"/>
      <c r="X17" s="292"/>
      <c r="Y17" s="294"/>
    </row>
    <row r="18" spans="1:33" s="244" customFormat="1" ht="13.8">
      <c r="A18" s="239">
        <f>1+A17</f>
        <v>3</v>
      </c>
      <c r="B18" s="219" t="s">
        <v>21</v>
      </c>
      <c r="C18" s="218" t="s">
        <v>10</v>
      </c>
      <c r="D18" s="217">
        <v>15.64</v>
      </c>
      <c r="E18" s="217">
        <v>40377.64</v>
      </c>
      <c r="F18" s="216">
        <f t="shared" si="0"/>
        <v>631506.29</v>
      </c>
      <c r="G18" s="320">
        <f>+H18-E18</f>
        <v>57206.19</v>
      </c>
      <c r="H18" s="238">
        <v>97583.83</v>
      </c>
      <c r="I18" s="238">
        <f t="shared" si="1"/>
        <v>1526211.1</v>
      </c>
      <c r="J18" s="237"/>
      <c r="K18" s="235">
        <v>6630.3</v>
      </c>
      <c r="L18" s="321">
        <v>103697.89</v>
      </c>
      <c r="M18" s="235">
        <v>126.55</v>
      </c>
      <c r="N18" s="321">
        <f t="shared" si="2"/>
        <v>1979.24</v>
      </c>
      <c r="O18" s="235">
        <f t="shared" si="5"/>
        <v>6756.85</v>
      </c>
      <c r="P18" s="321">
        <f t="shared" si="6"/>
        <v>105677.13</v>
      </c>
      <c r="Q18" s="235">
        <f t="shared" si="3"/>
        <v>0.13</v>
      </c>
      <c r="R18" s="322">
        <f t="shared" si="4"/>
        <v>6.92</v>
      </c>
      <c r="S18" s="181"/>
      <c r="T18" s="246"/>
      <c r="U18" s="246"/>
      <c r="V18" s="247"/>
      <c r="W18" s="293"/>
      <c r="X18" s="293"/>
      <c r="Y18" s="294"/>
      <c r="Z18" s="247"/>
      <c r="AA18" s="247"/>
      <c r="AB18" s="247"/>
      <c r="AC18" s="247"/>
      <c r="AD18" s="247"/>
      <c r="AE18" s="247"/>
      <c r="AF18" s="247"/>
      <c r="AG18" s="247"/>
    </row>
    <row r="19" spans="1:33" s="244" customFormat="1" ht="13.8">
      <c r="A19" s="239">
        <f>1+A18</f>
        <v>4</v>
      </c>
      <c r="B19" s="219" t="s">
        <v>22</v>
      </c>
      <c r="C19" s="218" t="s">
        <v>10</v>
      </c>
      <c r="D19" s="217">
        <v>18.52</v>
      </c>
      <c r="E19" s="217">
        <v>10580</v>
      </c>
      <c r="F19" s="216">
        <f t="shared" si="0"/>
        <v>195941.6</v>
      </c>
      <c r="G19" s="320">
        <f>+H19-E19</f>
        <v>17742.57</v>
      </c>
      <c r="H19" s="238">
        <v>28322.57</v>
      </c>
      <c r="I19" s="238">
        <f t="shared" si="1"/>
        <v>524534</v>
      </c>
      <c r="J19" s="237"/>
      <c r="K19" s="235">
        <v>5999.2</v>
      </c>
      <c r="L19" s="321">
        <v>111105.18</v>
      </c>
      <c r="M19" s="235">
        <v>2740.15</v>
      </c>
      <c r="N19" s="321">
        <f t="shared" si="2"/>
        <v>50747.58</v>
      </c>
      <c r="O19" s="235">
        <f t="shared" si="5"/>
        <v>8739.35</v>
      </c>
      <c r="P19" s="321">
        <f t="shared" si="6"/>
        <v>161852.76</v>
      </c>
      <c r="Q19" s="235">
        <f t="shared" si="3"/>
        <v>9.67</v>
      </c>
      <c r="R19" s="322">
        <f t="shared" si="4"/>
        <v>30.86</v>
      </c>
      <c r="S19" s="181"/>
      <c r="T19" s="246"/>
      <c r="U19" s="246"/>
      <c r="V19" s="247"/>
      <c r="W19" s="293"/>
      <c r="X19" s="293"/>
      <c r="Y19" s="294"/>
      <c r="Z19" s="247"/>
      <c r="AA19" s="247"/>
      <c r="AB19" s="247"/>
      <c r="AC19" s="247"/>
      <c r="AD19" s="247"/>
      <c r="AE19" s="247"/>
      <c r="AF19" s="247"/>
      <c r="AG19" s="247"/>
    </row>
    <row r="20" spans="1:33" ht="13.8">
      <c r="A20" s="239">
        <f>1+A19</f>
        <v>5</v>
      </c>
      <c r="B20" s="257" t="s">
        <v>23</v>
      </c>
      <c r="C20" s="218" t="s">
        <v>10</v>
      </c>
      <c r="D20" s="217">
        <v>57.61</v>
      </c>
      <c r="E20" s="217">
        <v>11436.25</v>
      </c>
      <c r="F20" s="216">
        <f t="shared" si="0"/>
        <v>658842.36</v>
      </c>
      <c r="G20" s="320">
        <f>+H20-E20</f>
        <v>-2950.25</v>
      </c>
      <c r="H20" s="238">
        <v>8486</v>
      </c>
      <c r="I20" s="238">
        <f t="shared" si="1"/>
        <v>488878.46</v>
      </c>
      <c r="J20" s="237"/>
      <c r="K20" s="321">
        <v>4380.2</v>
      </c>
      <c r="L20" s="321">
        <v>252343.32</v>
      </c>
      <c r="M20" s="321"/>
      <c r="N20" s="321">
        <f t="shared" si="2"/>
        <v>0</v>
      </c>
      <c r="O20" s="235">
        <f t="shared" si="5"/>
        <v>4380.2</v>
      </c>
      <c r="P20" s="321">
        <f t="shared" si="6"/>
        <v>252343.32</v>
      </c>
      <c r="Q20" s="235">
        <f t="shared" si="3"/>
        <v>0</v>
      </c>
      <c r="R20" s="322">
        <f t="shared" si="4"/>
        <v>51.62</v>
      </c>
      <c r="S20" s="181"/>
      <c r="T20" s="205"/>
      <c r="U20" s="205"/>
      <c r="V20" s="181"/>
      <c r="W20" s="292"/>
      <c r="X20" s="292"/>
      <c r="Y20" s="294"/>
      <c r="Z20" s="181"/>
      <c r="AA20" s="181"/>
      <c r="AB20" s="181"/>
      <c r="AC20" s="181"/>
      <c r="AD20" s="181"/>
      <c r="AE20" s="181"/>
      <c r="AF20" s="181"/>
      <c r="AG20" s="181"/>
    </row>
    <row r="21" spans="1:33" ht="13.8">
      <c r="A21" s="323">
        <f>1+A20</f>
        <v>6</v>
      </c>
      <c r="B21" s="256" t="s">
        <v>24</v>
      </c>
      <c r="C21" s="214" t="s">
        <v>25</v>
      </c>
      <c r="D21" s="213">
        <v>4.8600000000000003</v>
      </c>
      <c r="E21" s="213">
        <v>40296</v>
      </c>
      <c r="F21" s="230">
        <f t="shared" si="0"/>
        <v>195838.56</v>
      </c>
      <c r="G21" s="324">
        <f>+H21-E21</f>
        <v>35000</v>
      </c>
      <c r="H21" s="325">
        <v>75296</v>
      </c>
      <c r="I21" s="325">
        <f t="shared" si="1"/>
        <v>365938.56</v>
      </c>
      <c r="J21" s="326"/>
      <c r="K21" s="324">
        <v>31875</v>
      </c>
      <c r="L21" s="327">
        <v>154912.5</v>
      </c>
      <c r="M21" s="328"/>
      <c r="N21" s="327">
        <f t="shared" si="2"/>
        <v>0</v>
      </c>
      <c r="O21" s="328">
        <f t="shared" si="5"/>
        <v>31875</v>
      </c>
      <c r="P21" s="327">
        <f t="shared" si="6"/>
        <v>154912.5</v>
      </c>
      <c r="Q21" s="328">
        <f t="shared" si="3"/>
        <v>0</v>
      </c>
      <c r="R21" s="329">
        <f t="shared" si="4"/>
        <v>42.33</v>
      </c>
      <c r="S21" s="181"/>
      <c r="T21" s="205"/>
      <c r="U21" s="205"/>
      <c r="V21" s="185"/>
      <c r="W21" s="292"/>
      <c r="X21" s="292"/>
      <c r="Y21" s="294"/>
      <c r="Z21" s="181"/>
      <c r="AA21" s="181"/>
      <c r="AB21" s="181"/>
      <c r="AC21" s="181"/>
      <c r="AD21" s="181"/>
      <c r="AE21" s="181"/>
      <c r="AF21" s="181"/>
      <c r="AG21" s="181"/>
    </row>
    <row r="22" spans="1:33" ht="13.8">
      <c r="A22" s="229"/>
      <c r="B22" s="255" t="s">
        <v>27</v>
      </c>
      <c r="C22" s="227"/>
      <c r="D22" s="226"/>
      <c r="E22" s="226"/>
      <c r="F22" s="225"/>
      <c r="G22" s="226"/>
      <c r="H22" s="225"/>
      <c r="I22" s="225"/>
      <c r="J22" s="224"/>
      <c r="K22" s="222"/>
      <c r="L22" s="222"/>
      <c r="M22" s="221"/>
      <c r="N22" s="221"/>
      <c r="O22" s="221"/>
      <c r="P22" s="222"/>
      <c r="Q22" s="221"/>
      <c r="R22" s="220"/>
      <c r="S22" s="181"/>
      <c r="T22" s="205"/>
      <c r="U22" s="205"/>
      <c r="V22" s="183"/>
      <c r="W22" s="181"/>
      <c r="X22" s="181"/>
      <c r="Y22" s="181"/>
      <c r="Z22" s="181"/>
      <c r="AA22" s="181"/>
      <c r="AB22" s="181"/>
      <c r="AC22" s="181"/>
      <c r="AD22" s="181"/>
      <c r="AE22" s="181"/>
      <c r="AF22" s="181"/>
      <c r="AG22" s="181"/>
    </row>
    <row r="23" spans="1:33" ht="12.75" customHeight="1">
      <c r="A23" s="313">
        <v>7</v>
      </c>
      <c r="B23" s="241" t="s">
        <v>28</v>
      </c>
      <c r="C23" s="234" t="s">
        <v>10</v>
      </c>
      <c r="D23" s="233">
        <v>61.39</v>
      </c>
      <c r="E23" s="233">
        <v>23213.09</v>
      </c>
      <c r="F23" s="240">
        <f>D23*E23</f>
        <v>1425051.6</v>
      </c>
      <c r="G23" s="314">
        <f>+H23-E23</f>
        <v>0</v>
      </c>
      <c r="H23" s="315">
        <v>23213.09</v>
      </c>
      <c r="I23" s="315">
        <f>+H23*D23</f>
        <v>1425051.6</v>
      </c>
      <c r="J23" s="330"/>
      <c r="K23" s="318">
        <v>6375</v>
      </c>
      <c r="L23" s="318">
        <v>391361.25</v>
      </c>
      <c r="M23" s="317"/>
      <c r="N23" s="317">
        <f t="shared" ref="N23:N27" si="7">ROUND(M23*D23,2)</f>
        <v>0</v>
      </c>
      <c r="O23" s="317">
        <f t="shared" ref="O23:O25" si="8">M23+K23</f>
        <v>6375</v>
      </c>
      <c r="P23" s="318">
        <f t="shared" ref="P23:P25" si="9">L23+N23</f>
        <v>391361.25</v>
      </c>
      <c r="Q23" s="317">
        <f>IF(ISERROR(N23/I23),"",ROUND(N23/I23*100,2))</f>
        <v>0</v>
      </c>
      <c r="R23" s="319">
        <f>IF(ISERROR(P23/I23),"",ROUND(P23/I23*100,2))</f>
        <v>27.46</v>
      </c>
      <c r="S23" s="181"/>
      <c r="T23" s="205"/>
      <c r="U23" s="254"/>
      <c r="V23" s="181"/>
      <c r="W23" s="181"/>
      <c r="X23" s="181"/>
      <c r="Y23" s="181"/>
      <c r="Z23" s="181"/>
      <c r="AA23" s="181"/>
      <c r="AB23" s="181"/>
      <c r="AC23" s="181"/>
      <c r="AD23" s="181"/>
      <c r="AE23" s="181"/>
      <c r="AF23" s="181"/>
      <c r="AG23" s="181"/>
    </row>
    <row r="24" spans="1:33" ht="13.8">
      <c r="A24" s="239">
        <v>8</v>
      </c>
      <c r="B24" s="219" t="s">
        <v>29</v>
      </c>
      <c r="C24" s="218" t="s">
        <v>10</v>
      </c>
      <c r="D24" s="217">
        <v>18.55</v>
      </c>
      <c r="E24" s="217">
        <v>24098.81</v>
      </c>
      <c r="F24" s="216">
        <f>D24*E24</f>
        <v>447032.93</v>
      </c>
      <c r="G24" s="320">
        <f>+H24-E24</f>
        <v>0</v>
      </c>
      <c r="H24" s="238">
        <v>24098.81</v>
      </c>
      <c r="I24" s="238">
        <f>+H24*D24</f>
        <v>447032.93</v>
      </c>
      <c r="J24" s="237"/>
      <c r="K24" s="321">
        <v>6375</v>
      </c>
      <c r="L24" s="321">
        <v>118256.25</v>
      </c>
      <c r="M24" s="235"/>
      <c r="N24" s="235">
        <f t="shared" si="7"/>
        <v>0</v>
      </c>
      <c r="O24" s="235">
        <f t="shared" si="8"/>
        <v>6375</v>
      </c>
      <c r="P24" s="321">
        <f t="shared" si="9"/>
        <v>118256.25</v>
      </c>
      <c r="Q24" s="235">
        <f>IF(ISERROR(N24/I24),"",ROUND(N24/I24*100,2))</f>
        <v>0</v>
      </c>
      <c r="R24" s="322">
        <f>IF(ISERROR(P24/I24),"",ROUND(P24/I24*100,2))</f>
        <v>26.45</v>
      </c>
      <c r="S24" s="181"/>
      <c r="T24" s="205"/>
      <c r="U24" s="254"/>
      <c r="V24" s="181"/>
      <c r="W24" s="181"/>
      <c r="X24" s="181"/>
      <c r="Y24" s="181"/>
      <c r="Z24" s="181"/>
      <c r="AA24" s="181"/>
      <c r="AB24" s="181"/>
      <c r="AC24" s="181"/>
      <c r="AD24" s="181"/>
      <c r="AE24" s="181"/>
      <c r="AF24" s="181"/>
      <c r="AG24" s="181"/>
    </row>
    <row r="25" spans="1:33" ht="13.8">
      <c r="A25" s="323">
        <v>9</v>
      </c>
      <c r="B25" s="215" t="s">
        <v>30</v>
      </c>
      <c r="C25" s="214" t="s">
        <v>18</v>
      </c>
      <c r="D25" s="213">
        <v>44453.32</v>
      </c>
      <c r="E25" s="213">
        <v>0.4</v>
      </c>
      <c r="F25" s="212">
        <f>D25*E25</f>
        <v>17781.330000000002</v>
      </c>
      <c r="G25" s="324">
        <f>+H25-E25</f>
        <v>0</v>
      </c>
      <c r="H25" s="325">
        <v>0.4</v>
      </c>
      <c r="I25" s="325">
        <f>+H25*D25</f>
        <v>17781.330000000002</v>
      </c>
      <c r="J25" s="326"/>
      <c r="K25" s="327">
        <v>13335</v>
      </c>
      <c r="L25" s="327">
        <v>5334</v>
      </c>
      <c r="M25" s="327"/>
      <c r="N25" s="328">
        <f t="shared" si="7"/>
        <v>0</v>
      </c>
      <c r="O25" s="327">
        <f t="shared" si="8"/>
        <v>13335</v>
      </c>
      <c r="P25" s="327">
        <f t="shared" si="9"/>
        <v>5334</v>
      </c>
      <c r="Q25" s="328">
        <f>IF(ISERROR(N25/I25),"",ROUND(N25/I25*100,2))</f>
        <v>0</v>
      </c>
      <c r="R25" s="329">
        <f>IF(ISERROR(P25/I25),"",ROUND(P25/I25*100,2))</f>
        <v>30</v>
      </c>
      <c r="S25" s="181"/>
      <c r="T25" s="205"/>
      <c r="U25" s="205"/>
      <c r="V25" s="181"/>
      <c r="W25" s="181"/>
      <c r="X25" s="181"/>
      <c r="Y25" s="181"/>
      <c r="Z25" s="181"/>
      <c r="AA25" s="181"/>
      <c r="AB25" s="181"/>
      <c r="AC25" s="181"/>
      <c r="AD25" s="181"/>
      <c r="AE25" s="181"/>
      <c r="AF25" s="181"/>
      <c r="AG25" s="181"/>
    </row>
    <row r="26" spans="1:33" ht="13.5" customHeight="1">
      <c r="A26" s="229"/>
      <c r="B26" s="228" t="s">
        <v>31</v>
      </c>
      <c r="C26" s="227"/>
      <c r="D26" s="226"/>
      <c r="E26" s="226"/>
      <c r="F26" s="225"/>
      <c r="G26" s="226"/>
      <c r="H26" s="225"/>
      <c r="I26" s="225"/>
      <c r="J26" s="224"/>
      <c r="K26" s="223"/>
      <c r="L26" s="222"/>
      <c r="M26" s="221"/>
      <c r="N26" s="221"/>
      <c r="O26" s="222"/>
      <c r="P26" s="222"/>
      <c r="Q26" s="221"/>
      <c r="R26" s="220"/>
      <c r="S26" s="181"/>
      <c r="T26" s="205"/>
      <c r="U26" s="205"/>
      <c r="V26" s="181"/>
      <c r="W26" s="181"/>
      <c r="X26" s="181"/>
      <c r="Y26" s="181"/>
      <c r="Z26" s="181"/>
      <c r="AA26" s="181"/>
      <c r="AB26" s="181"/>
      <c r="AC26" s="181"/>
      <c r="AD26" s="181"/>
      <c r="AE26" s="181"/>
      <c r="AF26" s="181"/>
      <c r="AG26" s="181"/>
    </row>
    <row r="27" spans="1:33" ht="13.8">
      <c r="A27" s="313">
        <v>10</v>
      </c>
      <c r="B27" s="241" t="s">
        <v>32</v>
      </c>
      <c r="C27" s="234" t="s">
        <v>18</v>
      </c>
      <c r="D27" s="233">
        <v>3848.37</v>
      </c>
      <c r="E27" s="233">
        <v>0.2</v>
      </c>
      <c r="F27" s="240">
        <f t="shared" ref="F27:F40" si="10">D27*E27</f>
        <v>769.67</v>
      </c>
      <c r="G27" s="314">
        <f t="shared" ref="G27:G40" si="11">+H27-E27</f>
        <v>0</v>
      </c>
      <c r="H27" s="315">
        <v>0.2</v>
      </c>
      <c r="I27" s="315">
        <f t="shared" ref="I27:I40" si="12">+H27*D27</f>
        <v>769.67</v>
      </c>
      <c r="J27" s="330"/>
      <c r="K27" s="315">
        <v>3848.37</v>
      </c>
      <c r="L27" s="318">
        <v>769.67</v>
      </c>
      <c r="M27" s="317"/>
      <c r="N27" s="317">
        <f t="shared" si="7"/>
        <v>0</v>
      </c>
      <c r="O27" s="318">
        <f t="shared" ref="O27:O40" si="13">M27+K27</f>
        <v>3848.37</v>
      </c>
      <c r="P27" s="318">
        <f t="shared" ref="P27:P40" si="14">L27+N27</f>
        <v>769.67</v>
      </c>
      <c r="Q27" s="317">
        <f t="shared" ref="Q27:Q40" si="15">IF(ISERROR(N27/I27),"",ROUND(N27/I27*100,2))</f>
        <v>0</v>
      </c>
      <c r="R27" s="319">
        <f t="shared" ref="R27:R40" si="16">IF(ISERROR(P27/I27),"",ROUND(P27/I27*100,2))</f>
        <v>100</v>
      </c>
      <c r="S27" s="181"/>
      <c r="T27" s="205"/>
      <c r="U27" s="205"/>
      <c r="V27" s="181"/>
      <c r="W27" s="181"/>
      <c r="X27" s="181"/>
      <c r="Y27" s="181"/>
      <c r="Z27" s="181"/>
      <c r="AA27" s="181"/>
      <c r="AB27" s="181"/>
      <c r="AC27" s="181"/>
      <c r="AD27" s="181"/>
      <c r="AE27" s="181"/>
      <c r="AF27" s="181"/>
      <c r="AG27" s="181"/>
    </row>
    <row r="28" spans="1:33" s="244" customFormat="1" ht="13.8">
      <c r="A28" s="239">
        <f t="shared" ref="A28:A40" si="17">1+A27</f>
        <v>11</v>
      </c>
      <c r="B28" s="219" t="s">
        <v>33</v>
      </c>
      <c r="C28" s="218" t="s">
        <v>10</v>
      </c>
      <c r="D28" s="217">
        <v>27.03</v>
      </c>
      <c r="E28" s="217">
        <v>7899.85</v>
      </c>
      <c r="F28" s="216">
        <f t="shared" si="10"/>
        <v>213532.95</v>
      </c>
      <c r="G28" s="320">
        <f t="shared" si="11"/>
        <v>0</v>
      </c>
      <c r="H28" s="238">
        <v>7899.85</v>
      </c>
      <c r="I28" s="238">
        <f t="shared" si="12"/>
        <v>213532.95</v>
      </c>
      <c r="J28" s="237"/>
      <c r="K28" s="238">
        <v>328.12</v>
      </c>
      <c r="L28" s="321">
        <v>8869.08</v>
      </c>
      <c r="M28" s="235">
        <v>654.77</v>
      </c>
      <c r="N28" s="235">
        <f t="shared" ref="N28:N40" si="18">ROUND(M28*D28,2)</f>
        <v>17698.43</v>
      </c>
      <c r="O28" s="321">
        <f t="shared" si="13"/>
        <v>982.89</v>
      </c>
      <c r="P28" s="321">
        <f t="shared" si="14"/>
        <v>26567.51</v>
      </c>
      <c r="Q28" s="235">
        <f t="shared" si="15"/>
        <v>8.2899999999999991</v>
      </c>
      <c r="R28" s="322">
        <f t="shared" si="16"/>
        <v>12.44</v>
      </c>
      <c r="S28" s="181"/>
      <c r="T28" s="246"/>
      <c r="U28" s="245"/>
      <c r="V28" s="247"/>
    </row>
    <row r="29" spans="1:33" s="244" customFormat="1" ht="15.75" customHeight="1">
      <c r="A29" s="239">
        <f t="shared" si="17"/>
        <v>12</v>
      </c>
      <c r="B29" s="219" t="s">
        <v>34</v>
      </c>
      <c r="C29" s="218" t="s">
        <v>10</v>
      </c>
      <c r="D29" s="217">
        <v>652.63</v>
      </c>
      <c r="E29" s="217">
        <v>1522.75</v>
      </c>
      <c r="F29" s="216">
        <f t="shared" si="10"/>
        <v>993792.33</v>
      </c>
      <c r="G29" s="320">
        <f t="shared" si="11"/>
        <v>3076.2</v>
      </c>
      <c r="H29" s="238">
        <v>4598.95</v>
      </c>
      <c r="I29" s="238">
        <f t="shared" si="12"/>
        <v>3001412.74</v>
      </c>
      <c r="J29" s="237"/>
      <c r="K29" s="238">
        <v>269.23</v>
      </c>
      <c r="L29" s="321">
        <v>175707.57</v>
      </c>
      <c r="M29" s="235">
        <v>335.13</v>
      </c>
      <c r="N29" s="235">
        <f t="shared" si="18"/>
        <v>218715.89</v>
      </c>
      <c r="O29" s="321">
        <f t="shared" si="13"/>
        <v>604.36</v>
      </c>
      <c r="P29" s="321">
        <f t="shared" si="14"/>
        <v>394423.46</v>
      </c>
      <c r="Q29" s="235">
        <f t="shared" si="15"/>
        <v>7.29</v>
      </c>
      <c r="R29" s="322">
        <f t="shared" si="16"/>
        <v>13.14</v>
      </c>
      <c r="S29" s="181"/>
      <c r="T29" s="246"/>
      <c r="U29" s="245"/>
      <c r="V29" s="247"/>
    </row>
    <row r="30" spans="1:33" s="249" customFormat="1" ht="13.8">
      <c r="A30" s="239">
        <f t="shared" si="17"/>
        <v>13</v>
      </c>
      <c r="B30" s="219" t="s">
        <v>35</v>
      </c>
      <c r="C30" s="218" t="s">
        <v>10</v>
      </c>
      <c r="D30" s="217">
        <v>1801.53</v>
      </c>
      <c r="E30" s="217">
        <v>837.96</v>
      </c>
      <c r="F30" s="216">
        <f t="shared" si="10"/>
        <v>1509610.08</v>
      </c>
      <c r="G30" s="320">
        <f t="shared" si="11"/>
        <v>-236.8</v>
      </c>
      <c r="H30" s="238">
        <v>601.16</v>
      </c>
      <c r="I30" s="238">
        <f t="shared" si="12"/>
        <v>1083007.77</v>
      </c>
      <c r="J30" s="237"/>
      <c r="K30" s="238">
        <v>0</v>
      </c>
      <c r="L30" s="321">
        <v>0</v>
      </c>
      <c r="M30" s="235"/>
      <c r="N30" s="235">
        <f t="shared" si="18"/>
        <v>0</v>
      </c>
      <c r="O30" s="321">
        <f t="shared" si="13"/>
        <v>0</v>
      </c>
      <c r="P30" s="321">
        <f t="shared" si="14"/>
        <v>0</v>
      </c>
      <c r="Q30" s="235">
        <f t="shared" si="15"/>
        <v>0</v>
      </c>
      <c r="R30" s="322">
        <f t="shared" si="16"/>
        <v>0</v>
      </c>
      <c r="S30" s="181"/>
      <c r="T30" s="252"/>
      <c r="U30" s="251"/>
      <c r="V30" s="250"/>
    </row>
    <row r="31" spans="1:33" s="249" customFormat="1" ht="13.8">
      <c r="A31" s="239">
        <f t="shared" si="17"/>
        <v>14</v>
      </c>
      <c r="B31" s="219" t="s">
        <v>36</v>
      </c>
      <c r="C31" s="218" t="s">
        <v>46</v>
      </c>
      <c r="D31" s="217">
        <v>15.35</v>
      </c>
      <c r="E31" s="217">
        <v>108768.82</v>
      </c>
      <c r="F31" s="216">
        <f t="shared" si="10"/>
        <v>1669601.39</v>
      </c>
      <c r="G31" s="320">
        <f t="shared" si="11"/>
        <v>0</v>
      </c>
      <c r="H31" s="238">
        <v>108768.82</v>
      </c>
      <c r="I31" s="238">
        <f t="shared" si="12"/>
        <v>1669601.39</v>
      </c>
      <c r="J31" s="237"/>
      <c r="K31" s="238">
        <v>0</v>
      </c>
      <c r="L31" s="321">
        <v>0</v>
      </c>
      <c r="M31" s="235"/>
      <c r="N31" s="235">
        <f t="shared" si="18"/>
        <v>0</v>
      </c>
      <c r="O31" s="321">
        <f t="shared" si="13"/>
        <v>0</v>
      </c>
      <c r="P31" s="321">
        <f t="shared" si="14"/>
        <v>0</v>
      </c>
      <c r="Q31" s="235">
        <f t="shared" si="15"/>
        <v>0</v>
      </c>
      <c r="R31" s="322">
        <f t="shared" si="16"/>
        <v>0</v>
      </c>
      <c r="S31" s="181"/>
      <c r="T31" s="252"/>
      <c r="U31" s="251"/>
      <c r="V31" s="250"/>
    </row>
    <row r="32" spans="1:33" s="249" customFormat="1" ht="13.8">
      <c r="A32" s="239">
        <f t="shared" si="17"/>
        <v>15</v>
      </c>
      <c r="B32" s="219" t="s">
        <v>37</v>
      </c>
      <c r="C32" s="218" t="s">
        <v>10</v>
      </c>
      <c r="D32" s="217">
        <v>79.53</v>
      </c>
      <c r="E32" s="217">
        <v>74.010000000000005</v>
      </c>
      <c r="F32" s="216">
        <f t="shared" si="10"/>
        <v>5886.02</v>
      </c>
      <c r="G32" s="320">
        <f t="shared" si="11"/>
        <v>-34.26</v>
      </c>
      <c r="H32" s="238">
        <v>39.75</v>
      </c>
      <c r="I32" s="238">
        <f t="shared" si="12"/>
        <v>3161.32</v>
      </c>
      <c r="J32" s="237"/>
      <c r="K32" s="238">
        <v>0</v>
      </c>
      <c r="L32" s="321">
        <v>0</v>
      </c>
      <c r="M32" s="235">
        <v>10.5</v>
      </c>
      <c r="N32" s="235">
        <f t="shared" si="18"/>
        <v>835.07</v>
      </c>
      <c r="O32" s="321">
        <f t="shared" si="13"/>
        <v>10.5</v>
      </c>
      <c r="P32" s="321">
        <f t="shared" si="14"/>
        <v>835.07</v>
      </c>
      <c r="Q32" s="235">
        <f t="shared" si="15"/>
        <v>26.42</v>
      </c>
      <c r="R32" s="322">
        <f t="shared" si="16"/>
        <v>26.42</v>
      </c>
      <c r="S32" s="181"/>
      <c r="T32" s="252"/>
      <c r="U32" s="251"/>
      <c r="V32" s="250"/>
    </row>
    <row r="33" spans="1:22" s="249" customFormat="1" ht="13.8">
      <c r="A33" s="239">
        <f t="shared" si="17"/>
        <v>16</v>
      </c>
      <c r="B33" s="219" t="s">
        <v>38</v>
      </c>
      <c r="C33" s="218" t="s">
        <v>10</v>
      </c>
      <c r="D33" s="217">
        <v>59.3</v>
      </c>
      <c r="E33" s="217">
        <v>30077.59</v>
      </c>
      <c r="F33" s="216">
        <f t="shared" si="10"/>
        <v>1783601.09</v>
      </c>
      <c r="G33" s="320">
        <f t="shared" si="11"/>
        <v>-24444.22</v>
      </c>
      <c r="H33" s="238">
        <v>5633.37</v>
      </c>
      <c r="I33" s="238">
        <f t="shared" si="12"/>
        <v>334058.84000000003</v>
      </c>
      <c r="J33" s="237"/>
      <c r="K33" s="238">
        <v>91.87</v>
      </c>
      <c r="L33" s="321">
        <v>5447.89</v>
      </c>
      <c r="M33" s="235">
        <v>327.76</v>
      </c>
      <c r="N33" s="235">
        <f t="shared" si="18"/>
        <v>19436.169999999998</v>
      </c>
      <c r="O33" s="321">
        <f t="shared" si="13"/>
        <v>419.63</v>
      </c>
      <c r="P33" s="321">
        <f t="shared" si="14"/>
        <v>24884.06</v>
      </c>
      <c r="Q33" s="235">
        <f t="shared" si="15"/>
        <v>5.82</v>
      </c>
      <c r="R33" s="322">
        <f t="shared" si="16"/>
        <v>7.45</v>
      </c>
      <c r="S33" s="181"/>
      <c r="T33" s="252"/>
      <c r="U33" s="251"/>
      <c r="V33" s="250"/>
    </row>
    <row r="34" spans="1:22" s="249" customFormat="1" ht="13.8">
      <c r="A34" s="239">
        <f t="shared" si="17"/>
        <v>17</v>
      </c>
      <c r="B34" s="219" t="s">
        <v>39</v>
      </c>
      <c r="C34" s="218" t="s">
        <v>25</v>
      </c>
      <c r="D34" s="217">
        <v>213.4</v>
      </c>
      <c r="E34" s="217">
        <v>384.62</v>
      </c>
      <c r="F34" s="216">
        <f t="shared" si="10"/>
        <v>82077.91</v>
      </c>
      <c r="G34" s="320">
        <f t="shared" si="11"/>
        <v>0</v>
      </c>
      <c r="H34" s="238">
        <v>384.62</v>
      </c>
      <c r="I34" s="238">
        <f t="shared" si="12"/>
        <v>82077.91</v>
      </c>
      <c r="J34" s="237"/>
      <c r="K34" s="320">
        <v>0</v>
      </c>
      <c r="L34" s="321">
        <v>0</v>
      </c>
      <c r="M34" s="235"/>
      <c r="N34" s="235">
        <f t="shared" si="18"/>
        <v>0</v>
      </c>
      <c r="O34" s="321">
        <f t="shared" si="13"/>
        <v>0</v>
      </c>
      <c r="P34" s="321">
        <f t="shared" si="14"/>
        <v>0</v>
      </c>
      <c r="Q34" s="235">
        <f t="shared" si="15"/>
        <v>0</v>
      </c>
      <c r="R34" s="322">
        <f t="shared" si="16"/>
        <v>0</v>
      </c>
      <c r="S34" s="181"/>
      <c r="T34" s="252"/>
      <c r="U34" s="251"/>
      <c r="V34" s="250"/>
    </row>
    <row r="35" spans="1:22" ht="13.8">
      <c r="A35" s="239">
        <f t="shared" si="17"/>
        <v>18</v>
      </c>
      <c r="B35" s="219" t="s">
        <v>40</v>
      </c>
      <c r="C35" s="218" t="s">
        <v>25</v>
      </c>
      <c r="D35" s="217">
        <v>127.61</v>
      </c>
      <c r="E35" s="217">
        <v>795</v>
      </c>
      <c r="F35" s="216">
        <f t="shared" si="10"/>
        <v>101449.95</v>
      </c>
      <c r="G35" s="320">
        <f t="shared" si="11"/>
        <v>0</v>
      </c>
      <c r="H35" s="238">
        <v>795</v>
      </c>
      <c r="I35" s="238">
        <f t="shared" si="12"/>
        <v>101449.95</v>
      </c>
      <c r="J35" s="237"/>
      <c r="K35" s="236">
        <v>0</v>
      </c>
      <c r="L35" s="321">
        <v>0</v>
      </c>
      <c r="M35" s="235"/>
      <c r="N35" s="235">
        <f t="shared" si="18"/>
        <v>0</v>
      </c>
      <c r="O35" s="235">
        <f t="shared" si="13"/>
        <v>0</v>
      </c>
      <c r="P35" s="321">
        <f t="shared" si="14"/>
        <v>0</v>
      </c>
      <c r="Q35" s="235">
        <f t="shared" si="15"/>
        <v>0</v>
      </c>
      <c r="R35" s="322">
        <f t="shared" si="16"/>
        <v>0</v>
      </c>
      <c r="S35" s="181"/>
      <c r="T35" s="205"/>
      <c r="V35" s="181"/>
    </row>
    <row r="36" spans="1:22" ht="13.8">
      <c r="A36" s="239">
        <f t="shared" si="17"/>
        <v>19</v>
      </c>
      <c r="B36" s="219" t="s">
        <v>41</v>
      </c>
      <c r="C36" s="218" t="s">
        <v>10</v>
      </c>
      <c r="D36" s="217">
        <v>474.36</v>
      </c>
      <c r="E36" s="217">
        <v>1717</v>
      </c>
      <c r="F36" s="216">
        <f t="shared" si="10"/>
        <v>814476.12</v>
      </c>
      <c r="G36" s="320">
        <f t="shared" si="11"/>
        <v>-717</v>
      </c>
      <c r="H36" s="238">
        <v>1000</v>
      </c>
      <c r="I36" s="238">
        <f t="shared" si="12"/>
        <v>474360</v>
      </c>
      <c r="J36" s="237"/>
      <c r="K36" s="238">
        <v>86</v>
      </c>
      <c r="L36" s="321">
        <v>40794.959999999999</v>
      </c>
      <c r="M36" s="235">
        <v>122.5</v>
      </c>
      <c r="N36" s="235">
        <f t="shared" si="18"/>
        <v>58109.1</v>
      </c>
      <c r="O36" s="235">
        <f t="shared" si="13"/>
        <v>208.5</v>
      </c>
      <c r="P36" s="321">
        <f t="shared" si="14"/>
        <v>98904.06</v>
      </c>
      <c r="Q36" s="235">
        <f t="shared" si="15"/>
        <v>12.25</v>
      </c>
      <c r="R36" s="322">
        <f t="shared" si="16"/>
        <v>20.85</v>
      </c>
      <c r="S36" s="181"/>
      <c r="T36" s="205"/>
      <c r="V36" s="181"/>
    </row>
    <row r="37" spans="1:22" s="249" customFormat="1" ht="13.8">
      <c r="A37" s="239">
        <f t="shared" si="17"/>
        <v>20</v>
      </c>
      <c r="B37" s="219" t="s">
        <v>42</v>
      </c>
      <c r="C37" s="218" t="s">
        <v>47</v>
      </c>
      <c r="D37" s="217">
        <v>111.72</v>
      </c>
      <c r="E37" s="217">
        <v>18000</v>
      </c>
      <c r="F37" s="216">
        <f t="shared" si="10"/>
        <v>2010960</v>
      </c>
      <c r="G37" s="320">
        <f t="shared" si="11"/>
        <v>-10989.12</v>
      </c>
      <c r="H37" s="345">
        <v>7010.8841000000002</v>
      </c>
      <c r="I37" s="238">
        <f t="shared" si="12"/>
        <v>783255.97</v>
      </c>
      <c r="J37" s="237"/>
      <c r="K37" s="236">
        <v>0</v>
      </c>
      <c r="L37" s="321">
        <v>0</v>
      </c>
      <c r="M37" s="235"/>
      <c r="N37" s="235">
        <f t="shared" si="18"/>
        <v>0</v>
      </c>
      <c r="O37" s="235">
        <f t="shared" si="13"/>
        <v>0</v>
      </c>
      <c r="P37" s="321">
        <f t="shared" si="14"/>
        <v>0</v>
      </c>
      <c r="Q37" s="235">
        <f t="shared" si="15"/>
        <v>0</v>
      </c>
      <c r="R37" s="322">
        <f t="shared" si="16"/>
        <v>0</v>
      </c>
      <c r="S37" s="181"/>
      <c r="T37" s="252"/>
      <c r="U37" s="251"/>
      <c r="V37" s="250"/>
    </row>
    <row r="38" spans="1:22" s="249" customFormat="1" ht="13.8">
      <c r="A38" s="239">
        <f t="shared" si="17"/>
        <v>21</v>
      </c>
      <c r="B38" s="219" t="s">
        <v>43</v>
      </c>
      <c r="C38" s="218" t="s">
        <v>47</v>
      </c>
      <c r="D38" s="217">
        <v>1596.02</v>
      </c>
      <c r="E38" s="217">
        <v>343.55</v>
      </c>
      <c r="F38" s="216">
        <f t="shared" si="10"/>
        <v>548312.67000000004</v>
      </c>
      <c r="G38" s="320">
        <f t="shared" si="11"/>
        <v>0</v>
      </c>
      <c r="H38" s="238">
        <v>343.55</v>
      </c>
      <c r="I38" s="238">
        <f t="shared" si="12"/>
        <v>548312.67000000004</v>
      </c>
      <c r="J38" s="237"/>
      <c r="K38" s="236">
        <v>44</v>
      </c>
      <c r="L38" s="321">
        <v>70224.88</v>
      </c>
      <c r="M38" s="235">
        <v>35</v>
      </c>
      <c r="N38" s="235">
        <f t="shared" si="18"/>
        <v>55860.7</v>
      </c>
      <c r="O38" s="235">
        <f t="shared" si="13"/>
        <v>79</v>
      </c>
      <c r="P38" s="321">
        <f t="shared" si="14"/>
        <v>126085.58</v>
      </c>
      <c r="Q38" s="235">
        <f t="shared" si="15"/>
        <v>10.19</v>
      </c>
      <c r="R38" s="322">
        <f t="shared" si="16"/>
        <v>23</v>
      </c>
      <c r="S38" s="181"/>
      <c r="T38" s="252"/>
      <c r="U38" s="251"/>
      <c r="V38" s="250"/>
    </row>
    <row r="39" spans="1:22" ht="13.8">
      <c r="A39" s="239">
        <f t="shared" si="17"/>
        <v>22</v>
      </c>
      <c r="B39" s="219" t="s">
        <v>44</v>
      </c>
      <c r="C39" s="218" t="s">
        <v>10</v>
      </c>
      <c r="D39" s="217">
        <v>638.48</v>
      </c>
      <c r="E39" s="217">
        <v>70.819999999999993</v>
      </c>
      <c r="F39" s="216">
        <f t="shared" si="10"/>
        <v>45217.15</v>
      </c>
      <c r="G39" s="320">
        <f t="shared" si="11"/>
        <v>0</v>
      </c>
      <c r="H39" s="238">
        <v>70.819999999999993</v>
      </c>
      <c r="I39" s="238">
        <f t="shared" si="12"/>
        <v>45217.15</v>
      </c>
      <c r="J39" s="237"/>
      <c r="K39" s="236">
        <v>0</v>
      </c>
      <c r="L39" s="321">
        <v>0</v>
      </c>
      <c r="M39" s="235"/>
      <c r="N39" s="235">
        <f t="shared" si="18"/>
        <v>0</v>
      </c>
      <c r="O39" s="235">
        <f t="shared" si="13"/>
        <v>0</v>
      </c>
      <c r="P39" s="321">
        <f t="shared" si="14"/>
        <v>0</v>
      </c>
      <c r="Q39" s="235">
        <f t="shared" si="15"/>
        <v>0</v>
      </c>
      <c r="R39" s="322">
        <f t="shared" si="16"/>
        <v>0</v>
      </c>
      <c r="S39" s="181"/>
      <c r="T39" s="205"/>
      <c r="V39" s="181"/>
    </row>
    <row r="40" spans="1:22" ht="13.8">
      <c r="A40" s="323">
        <f t="shared" si="17"/>
        <v>23</v>
      </c>
      <c r="B40" s="215" t="s">
        <v>45</v>
      </c>
      <c r="C40" s="214" t="s">
        <v>47</v>
      </c>
      <c r="D40" s="213">
        <v>44.35</v>
      </c>
      <c r="E40" s="213">
        <v>2726.08</v>
      </c>
      <c r="F40" s="212">
        <f t="shared" si="10"/>
        <v>120901.65</v>
      </c>
      <c r="G40" s="324">
        <f t="shared" si="11"/>
        <v>0</v>
      </c>
      <c r="H40" s="325">
        <v>2726.08</v>
      </c>
      <c r="I40" s="325">
        <f t="shared" si="12"/>
        <v>120901.65</v>
      </c>
      <c r="J40" s="326"/>
      <c r="K40" s="331">
        <v>0</v>
      </c>
      <c r="L40" s="327">
        <v>0</v>
      </c>
      <c r="M40" s="328"/>
      <c r="N40" s="328">
        <f t="shared" si="18"/>
        <v>0</v>
      </c>
      <c r="O40" s="328">
        <f t="shared" si="13"/>
        <v>0</v>
      </c>
      <c r="P40" s="327">
        <f t="shared" si="14"/>
        <v>0</v>
      </c>
      <c r="Q40" s="328">
        <f t="shared" si="15"/>
        <v>0</v>
      </c>
      <c r="R40" s="329">
        <f t="shared" si="16"/>
        <v>0</v>
      </c>
      <c r="S40" s="181"/>
      <c r="T40" s="205"/>
      <c r="V40" s="181"/>
    </row>
    <row r="41" spans="1:22" ht="13.8">
      <c r="A41" s="229"/>
      <c r="B41" s="228" t="s">
        <v>48</v>
      </c>
      <c r="C41" s="227"/>
      <c r="D41" s="226"/>
      <c r="E41" s="226"/>
      <c r="F41" s="225"/>
      <c r="G41" s="226"/>
      <c r="H41" s="225"/>
      <c r="I41" s="225"/>
      <c r="J41" s="224"/>
      <c r="K41" s="223"/>
      <c r="L41" s="221"/>
      <c r="M41" s="221"/>
      <c r="N41" s="221"/>
      <c r="O41" s="221"/>
      <c r="P41" s="222"/>
      <c r="Q41" s="221"/>
      <c r="R41" s="220"/>
      <c r="S41" s="181"/>
      <c r="T41" s="205"/>
      <c r="V41" s="181"/>
    </row>
    <row r="42" spans="1:22" ht="13.8">
      <c r="A42" s="313">
        <v>24</v>
      </c>
      <c r="B42" s="241" t="s">
        <v>17</v>
      </c>
      <c r="C42" s="234" t="s">
        <v>18</v>
      </c>
      <c r="D42" s="233">
        <v>47860.38</v>
      </c>
      <c r="E42" s="233">
        <v>1</v>
      </c>
      <c r="F42" s="240">
        <f t="shared" ref="F42:F55" si="19">D42*E42</f>
        <v>47860.38</v>
      </c>
      <c r="G42" s="314">
        <f t="shared" ref="G42:G55" si="20">+H42-E42</f>
        <v>0</v>
      </c>
      <c r="H42" s="315">
        <v>1</v>
      </c>
      <c r="I42" s="315">
        <f t="shared" ref="I42:I55" si="21">+H42*D42</f>
        <v>47860.38</v>
      </c>
      <c r="J42" s="330"/>
      <c r="K42" s="315">
        <v>1</v>
      </c>
      <c r="L42" s="318">
        <v>47860.38</v>
      </c>
      <c r="M42" s="317"/>
      <c r="N42" s="317">
        <f t="shared" ref="N42:N55" si="22">ROUND(M42*D42,2)</f>
        <v>0</v>
      </c>
      <c r="O42" s="317">
        <f t="shared" ref="O42:O55" si="23">M42+K42</f>
        <v>1</v>
      </c>
      <c r="P42" s="318">
        <f t="shared" ref="P42:P55" si="24">L42+N42</f>
        <v>47860.38</v>
      </c>
      <c r="Q42" s="317">
        <f t="shared" ref="Q42:Q55" si="25">IF(ISERROR(N42/I42),"",ROUND(N42/I42*100,2))</f>
        <v>0</v>
      </c>
      <c r="R42" s="319">
        <f t="shared" ref="R42:R55" si="26">IF(ISERROR(P42/I42),"",ROUND(P42/I42*100,2))</f>
        <v>100</v>
      </c>
      <c r="S42" s="181"/>
      <c r="T42" s="205"/>
    </row>
    <row r="43" spans="1:22" ht="13.8">
      <c r="A43" s="239">
        <f t="shared" ref="A43:A55" si="27">1+A42</f>
        <v>25</v>
      </c>
      <c r="B43" s="219" t="s">
        <v>32</v>
      </c>
      <c r="C43" s="218" t="s">
        <v>18</v>
      </c>
      <c r="D43" s="217">
        <v>3848.37</v>
      </c>
      <c r="E43" s="217">
        <v>1</v>
      </c>
      <c r="F43" s="216">
        <f t="shared" si="19"/>
        <v>3848.37</v>
      </c>
      <c r="G43" s="320">
        <f t="shared" si="20"/>
        <v>0</v>
      </c>
      <c r="H43" s="238">
        <v>1</v>
      </c>
      <c r="I43" s="238">
        <f t="shared" si="21"/>
        <v>3848.37</v>
      </c>
      <c r="J43" s="237"/>
      <c r="K43" s="238">
        <v>1</v>
      </c>
      <c r="L43" s="321">
        <v>3848.37</v>
      </c>
      <c r="M43" s="235"/>
      <c r="N43" s="235">
        <f t="shared" si="22"/>
        <v>0</v>
      </c>
      <c r="O43" s="235">
        <f t="shared" si="23"/>
        <v>1</v>
      </c>
      <c r="P43" s="321">
        <f t="shared" si="24"/>
        <v>3848.37</v>
      </c>
      <c r="Q43" s="235">
        <f t="shared" si="25"/>
        <v>0</v>
      </c>
      <c r="R43" s="322">
        <f t="shared" si="26"/>
        <v>100</v>
      </c>
      <c r="S43" s="181"/>
      <c r="T43" s="205"/>
    </row>
    <row r="44" spans="1:22" s="244" customFormat="1" ht="13.8">
      <c r="A44" s="239">
        <f t="shared" si="27"/>
        <v>26</v>
      </c>
      <c r="B44" s="219" t="s">
        <v>49</v>
      </c>
      <c r="C44" s="218" t="s">
        <v>10</v>
      </c>
      <c r="D44" s="217">
        <v>27.03</v>
      </c>
      <c r="E44" s="217">
        <v>797</v>
      </c>
      <c r="F44" s="216">
        <f t="shared" si="19"/>
        <v>21542.91</v>
      </c>
      <c r="G44" s="320">
        <f t="shared" si="20"/>
        <v>295.10000000000002</v>
      </c>
      <c r="H44" s="238">
        <v>1092.0999999999999</v>
      </c>
      <c r="I44" s="238">
        <f t="shared" si="21"/>
        <v>29519.46</v>
      </c>
      <c r="J44" s="237"/>
      <c r="K44" s="236">
        <v>0</v>
      </c>
      <c r="L44" s="321">
        <v>0</v>
      </c>
      <c r="M44" s="235"/>
      <c r="N44" s="235">
        <f t="shared" si="22"/>
        <v>0</v>
      </c>
      <c r="O44" s="235">
        <f t="shared" si="23"/>
        <v>0</v>
      </c>
      <c r="P44" s="321">
        <f t="shared" si="24"/>
        <v>0</v>
      </c>
      <c r="Q44" s="235">
        <f t="shared" si="25"/>
        <v>0</v>
      </c>
      <c r="R44" s="322">
        <f t="shared" si="26"/>
        <v>0</v>
      </c>
      <c r="S44" s="181"/>
      <c r="T44" s="246"/>
      <c r="U44" s="245"/>
    </row>
    <row r="45" spans="1:22" s="244" customFormat="1" ht="13.8">
      <c r="A45" s="239">
        <f t="shared" si="27"/>
        <v>27</v>
      </c>
      <c r="B45" s="219" t="s">
        <v>35</v>
      </c>
      <c r="C45" s="218" t="s">
        <v>10</v>
      </c>
      <c r="D45" s="217">
        <v>1801.53</v>
      </c>
      <c r="E45" s="217">
        <v>486.72</v>
      </c>
      <c r="F45" s="216">
        <f t="shared" si="19"/>
        <v>876840.68</v>
      </c>
      <c r="G45" s="320">
        <f t="shared" si="20"/>
        <v>150.13999999999999</v>
      </c>
      <c r="H45" s="238">
        <v>636.86</v>
      </c>
      <c r="I45" s="238">
        <f t="shared" si="21"/>
        <v>1147322.3999999999</v>
      </c>
      <c r="J45" s="237"/>
      <c r="K45" s="236">
        <v>0</v>
      </c>
      <c r="L45" s="321">
        <v>0</v>
      </c>
      <c r="M45" s="235"/>
      <c r="N45" s="235">
        <f t="shared" si="22"/>
        <v>0</v>
      </c>
      <c r="O45" s="235">
        <f t="shared" si="23"/>
        <v>0</v>
      </c>
      <c r="P45" s="321">
        <f t="shared" si="24"/>
        <v>0</v>
      </c>
      <c r="Q45" s="235">
        <f t="shared" si="25"/>
        <v>0</v>
      </c>
      <c r="R45" s="322">
        <f t="shared" si="26"/>
        <v>0</v>
      </c>
      <c r="S45" s="181"/>
      <c r="T45" s="246"/>
      <c r="U45" s="245"/>
    </row>
    <row r="46" spans="1:22" s="244" customFormat="1" ht="13.8">
      <c r="A46" s="239">
        <f t="shared" si="27"/>
        <v>28</v>
      </c>
      <c r="B46" s="219" t="s">
        <v>36</v>
      </c>
      <c r="C46" s="218" t="s">
        <v>46</v>
      </c>
      <c r="D46" s="217">
        <v>15.35</v>
      </c>
      <c r="E46" s="217">
        <v>31927.89</v>
      </c>
      <c r="F46" s="216">
        <f t="shared" si="19"/>
        <v>490093.11</v>
      </c>
      <c r="G46" s="320">
        <f t="shared" si="20"/>
        <v>-984.49</v>
      </c>
      <c r="H46" s="238">
        <v>30943.4</v>
      </c>
      <c r="I46" s="238">
        <f t="shared" si="21"/>
        <v>474981.19</v>
      </c>
      <c r="J46" s="237"/>
      <c r="K46" s="238">
        <v>0</v>
      </c>
      <c r="L46" s="321">
        <v>0</v>
      </c>
      <c r="M46" s="235"/>
      <c r="N46" s="235">
        <f t="shared" si="22"/>
        <v>0</v>
      </c>
      <c r="O46" s="235">
        <f t="shared" si="23"/>
        <v>0</v>
      </c>
      <c r="P46" s="321">
        <f t="shared" si="24"/>
        <v>0</v>
      </c>
      <c r="Q46" s="235">
        <f t="shared" si="25"/>
        <v>0</v>
      </c>
      <c r="R46" s="322">
        <f t="shared" si="26"/>
        <v>0</v>
      </c>
      <c r="S46" s="181"/>
      <c r="T46" s="246"/>
      <c r="U46" s="245"/>
    </row>
    <row r="47" spans="1:22" ht="13.8">
      <c r="A47" s="239">
        <f t="shared" si="27"/>
        <v>29</v>
      </c>
      <c r="B47" s="219" t="s">
        <v>50</v>
      </c>
      <c r="C47" s="218" t="s">
        <v>47</v>
      </c>
      <c r="D47" s="217">
        <v>3943.09</v>
      </c>
      <c r="E47" s="217">
        <v>105</v>
      </c>
      <c r="F47" s="216">
        <f t="shared" si="19"/>
        <v>414024.45</v>
      </c>
      <c r="G47" s="320">
        <f t="shared" si="20"/>
        <v>35</v>
      </c>
      <c r="H47" s="238">
        <v>140</v>
      </c>
      <c r="I47" s="238">
        <f t="shared" si="21"/>
        <v>552032.6</v>
      </c>
      <c r="J47" s="237"/>
      <c r="K47" s="238">
        <v>0</v>
      </c>
      <c r="L47" s="321">
        <v>0</v>
      </c>
      <c r="M47" s="235"/>
      <c r="N47" s="235">
        <f t="shared" si="22"/>
        <v>0</v>
      </c>
      <c r="O47" s="235">
        <f t="shared" si="23"/>
        <v>0</v>
      </c>
      <c r="P47" s="321">
        <f t="shared" si="24"/>
        <v>0</v>
      </c>
      <c r="Q47" s="235">
        <f t="shared" si="25"/>
        <v>0</v>
      </c>
      <c r="R47" s="322">
        <f t="shared" si="26"/>
        <v>0</v>
      </c>
      <c r="S47" s="181"/>
      <c r="T47" s="205"/>
    </row>
    <row r="48" spans="1:22" ht="13.8">
      <c r="A48" s="239">
        <f t="shared" si="27"/>
        <v>30</v>
      </c>
      <c r="B48" s="219" t="s">
        <v>51</v>
      </c>
      <c r="C48" s="218" t="s">
        <v>58</v>
      </c>
      <c r="D48" s="217">
        <v>403.4</v>
      </c>
      <c r="E48" s="217">
        <v>48</v>
      </c>
      <c r="F48" s="216">
        <f t="shared" si="19"/>
        <v>19363.2</v>
      </c>
      <c r="G48" s="320">
        <f t="shared" si="20"/>
        <v>16</v>
      </c>
      <c r="H48" s="238">
        <v>64</v>
      </c>
      <c r="I48" s="238">
        <f t="shared" si="21"/>
        <v>25817.599999999999</v>
      </c>
      <c r="J48" s="237"/>
      <c r="K48" s="238">
        <v>0</v>
      </c>
      <c r="L48" s="321">
        <v>0</v>
      </c>
      <c r="M48" s="235"/>
      <c r="N48" s="235">
        <f t="shared" si="22"/>
        <v>0</v>
      </c>
      <c r="O48" s="235">
        <f t="shared" si="23"/>
        <v>0</v>
      </c>
      <c r="P48" s="321">
        <f t="shared" si="24"/>
        <v>0</v>
      </c>
      <c r="Q48" s="235">
        <f t="shared" si="25"/>
        <v>0</v>
      </c>
      <c r="R48" s="322">
        <f t="shared" si="26"/>
        <v>0</v>
      </c>
      <c r="S48" s="181"/>
      <c r="T48" s="205"/>
    </row>
    <row r="49" spans="1:21" ht="13.8">
      <c r="A49" s="239">
        <f t="shared" si="27"/>
        <v>31</v>
      </c>
      <c r="B49" s="219" t="s">
        <v>52</v>
      </c>
      <c r="C49" s="218" t="s">
        <v>18</v>
      </c>
      <c r="D49" s="217">
        <v>45986.77</v>
      </c>
      <c r="E49" s="217">
        <v>0.65</v>
      </c>
      <c r="F49" s="216">
        <f t="shared" si="19"/>
        <v>29891.4</v>
      </c>
      <c r="G49" s="320">
        <f t="shared" si="20"/>
        <v>0.22</v>
      </c>
      <c r="H49" s="238">
        <v>0.87</v>
      </c>
      <c r="I49" s="238">
        <f t="shared" si="21"/>
        <v>40008.49</v>
      </c>
      <c r="J49" s="237"/>
      <c r="K49" s="238">
        <v>0</v>
      </c>
      <c r="L49" s="321">
        <v>0</v>
      </c>
      <c r="M49" s="235"/>
      <c r="N49" s="235">
        <f t="shared" si="22"/>
        <v>0</v>
      </c>
      <c r="O49" s="235">
        <f t="shared" si="23"/>
        <v>0</v>
      </c>
      <c r="P49" s="321">
        <f t="shared" si="24"/>
        <v>0</v>
      </c>
      <c r="Q49" s="235">
        <f t="shared" si="25"/>
        <v>0</v>
      </c>
      <c r="R49" s="322">
        <f t="shared" si="26"/>
        <v>0</v>
      </c>
      <c r="S49" s="181"/>
      <c r="T49" s="205"/>
    </row>
    <row r="50" spans="1:21" ht="13.8">
      <c r="A50" s="239">
        <f t="shared" si="27"/>
        <v>32</v>
      </c>
      <c r="B50" s="219" t="s">
        <v>53</v>
      </c>
      <c r="C50" s="218" t="s">
        <v>47</v>
      </c>
      <c r="D50" s="217">
        <v>825.66</v>
      </c>
      <c r="E50" s="217">
        <v>18.2</v>
      </c>
      <c r="F50" s="216">
        <f t="shared" si="19"/>
        <v>15027.01</v>
      </c>
      <c r="G50" s="320">
        <f t="shared" si="20"/>
        <v>0</v>
      </c>
      <c r="H50" s="238">
        <v>18.2</v>
      </c>
      <c r="I50" s="238">
        <f t="shared" si="21"/>
        <v>15027.01</v>
      </c>
      <c r="J50" s="237"/>
      <c r="K50" s="238">
        <v>0</v>
      </c>
      <c r="L50" s="321">
        <v>0</v>
      </c>
      <c r="M50" s="235"/>
      <c r="N50" s="235">
        <f t="shared" si="22"/>
        <v>0</v>
      </c>
      <c r="O50" s="235">
        <f t="shared" si="23"/>
        <v>0</v>
      </c>
      <c r="P50" s="321">
        <f t="shared" si="24"/>
        <v>0</v>
      </c>
      <c r="Q50" s="235">
        <f t="shared" si="25"/>
        <v>0</v>
      </c>
      <c r="R50" s="322">
        <f t="shared" si="26"/>
        <v>0</v>
      </c>
      <c r="S50" s="181"/>
      <c r="T50" s="205"/>
    </row>
    <row r="51" spans="1:21" ht="13.8">
      <c r="A51" s="239">
        <f t="shared" si="27"/>
        <v>33</v>
      </c>
      <c r="B51" s="219" t="s">
        <v>54</v>
      </c>
      <c r="C51" s="218" t="s">
        <v>47</v>
      </c>
      <c r="D51" s="217">
        <v>83.48</v>
      </c>
      <c r="E51" s="217">
        <v>47.3</v>
      </c>
      <c r="F51" s="216">
        <f t="shared" si="19"/>
        <v>3948.6</v>
      </c>
      <c r="G51" s="320">
        <f t="shared" si="20"/>
        <v>0</v>
      </c>
      <c r="H51" s="238">
        <v>47.3</v>
      </c>
      <c r="I51" s="238">
        <f t="shared" si="21"/>
        <v>3948.6</v>
      </c>
      <c r="J51" s="237"/>
      <c r="K51" s="238">
        <v>0</v>
      </c>
      <c r="L51" s="321">
        <v>0</v>
      </c>
      <c r="M51" s="235"/>
      <c r="N51" s="235">
        <f t="shared" si="22"/>
        <v>0</v>
      </c>
      <c r="O51" s="235">
        <f t="shared" si="23"/>
        <v>0</v>
      </c>
      <c r="P51" s="321">
        <f t="shared" si="24"/>
        <v>0</v>
      </c>
      <c r="Q51" s="235">
        <f t="shared" si="25"/>
        <v>0</v>
      </c>
      <c r="R51" s="322">
        <f t="shared" si="26"/>
        <v>0</v>
      </c>
      <c r="S51" s="181"/>
      <c r="T51" s="205"/>
    </row>
    <row r="52" spans="1:21" ht="13.8">
      <c r="A52" s="239">
        <f t="shared" si="27"/>
        <v>34</v>
      </c>
      <c r="B52" s="219" t="s">
        <v>55</v>
      </c>
      <c r="C52" s="218" t="s">
        <v>10</v>
      </c>
      <c r="D52" s="217">
        <v>150.47999999999999</v>
      </c>
      <c r="E52" s="217">
        <v>106.76</v>
      </c>
      <c r="F52" s="216">
        <f t="shared" si="19"/>
        <v>16065.24</v>
      </c>
      <c r="G52" s="320">
        <f t="shared" si="20"/>
        <v>34.57</v>
      </c>
      <c r="H52" s="238">
        <v>141.33000000000001</v>
      </c>
      <c r="I52" s="238">
        <f t="shared" si="21"/>
        <v>21267.34</v>
      </c>
      <c r="J52" s="237"/>
      <c r="K52" s="238">
        <v>0</v>
      </c>
      <c r="L52" s="321">
        <v>0</v>
      </c>
      <c r="M52" s="235"/>
      <c r="N52" s="235">
        <f t="shared" si="22"/>
        <v>0</v>
      </c>
      <c r="O52" s="235">
        <f t="shared" si="23"/>
        <v>0</v>
      </c>
      <c r="P52" s="321">
        <f t="shared" si="24"/>
        <v>0</v>
      </c>
      <c r="Q52" s="235">
        <f t="shared" si="25"/>
        <v>0</v>
      </c>
      <c r="R52" s="322">
        <f t="shared" si="26"/>
        <v>0</v>
      </c>
      <c r="S52" s="181"/>
      <c r="T52" s="205"/>
    </row>
    <row r="53" spans="1:21" s="244" customFormat="1" ht="13.8">
      <c r="A53" s="239">
        <f t="shared" si="27"/>
        <v>35</v>
      </c>
      <c r="B53" s="219" t="s">
        <v>44</v>
      </c>
      <c r="C53" s="218" t="s">
        <v>10</v>
      </c>
      <c r="D53" s="217">
        <v>638.48</v>
      </c>
      <c r="E53" s="217">
        <v>20.6</v>
      </c>
      <c r="F53" s="216">
        <f t="shared" si="19"/>
        <v>13152.69</v>
      </c>
      <c r="G53" s="320">
        <f t="shared" si="20"/>
        <v>2.64</v>
      </c>
      <c r="H53" s="238">
        <v>23.24</v>
      </c>
      <c r="I53" s="238">
        <f t="shared" si="21"/>
        <v>14838.28</v>
      </c>
      <c r="J53" s="237"/>
      <c r="K53" s="238">
        <v>0</v>
      </c>
      <c r="L53" s="321">
        <v>0</v>
      </c>
      <c r="M53" s="235"/>
      <c r="N53" s="235">
        <f t="shared" si="22"/>
        <v>0</v>
      </c>
      <c r="O53" s="235">
        <f t="shared" si="23"/>
        <v>0</v>
      </c>
      <c r="P53" s="321">
        <f t="shared" si="24"/>
        <v>0</v>
      </c>
      <c r="Q53" s="235">
        <f t="shared" si="25"/>
        <v>0</v>
      </c>
      <c r="R53" s="322">
        <f t="shared" si="26"/>
        <v>0</v>
      </c>
      <c r="S53" s="181"/>
      <c r="T53" s="246"/>
      <c r="U53" s="245"/>
    </row>
    <row r="54" spans="1:21" ht="13.8">
      <c r="A54" s="239">
        <f t="shared" si="27"/>
        <v>36</v>
      </c>
      <c r="B54" s="219" t="s">
        <v>56</v>
      </c>
      <c r="C54" s="218" t="s">
        <v>10</v>
      </c>
      <c r="D54" s="217">
        <v>573.79</v>
      </c>
      <c r="E54" s="217">
        <v>476</v>
      </c>
      <c r="F54" s="216">
        <f t="shared" si="19"/>
        <v>273124.03999999998</v>
      </c>
      <c r="G54" s="320">
        <f t="shared" si="20"/>
        <v>-476</v>
      </c>
      <c r="H54" s="238">
        <v>0</v>
      </c>
      <c r="I54" s="238">
        <f t="shared" si="21"/>
        <v>0</v>
      </c>
      <c r="J54" s="237"/>
      <c r="K54" s="238">
        <v>0</v>
      </c>
      <c r="L54" s="321">
        <v>0</v>
      </c>
      <c r="M54" s="235"/>
      <c r="N54" s="235">
        <f t="shared" si="22"/>
        <v>0</v>
      </c>
      <c r="O54" s="235">
        <f t="shared" si="23"/>
        <v>0</v>
      </c>
      <c r="P54" s="321">
        <f t="shared" si="24"/>
        <v>0</v>
      </c>
      <c r="Q54" s="235" t="str">
        <f t="shared" si="25"/>
        <v/>
      </c>
      <c r="R54" s="322" t="str">
        <f t="shared" si="26"/>
        <v/>
      </c>
      <c r="S54" s="181"/>
      <c r="T54" s="205"/>
    </row>
    <row r="55" spans="1:21" ht="13.8">
      <c r="A55" s="323">
        <f t="shared" si="27"/>
        <v>37</v>
      </c>
      <c r="B55" s="215" t="s">
        <v>57</v>
      </c>
      <c r="C55" s="214" t="s">
        <v>18</v>
      </c>
      <c r="D55" s="213">
        <v>4553.8599999999997</v>
      </c>
      <c r="E55" s="213">
        <v>1</v>
      </c>
      <c r="F55" s="243">
        <f t="shared" si="19"/>
        <v>4553.8599999999997</v>
      </c>
      <c r="G55" s="324">
        <f t="shared" si="20"/>
        <v>0</v>
      </c>
      <c r="H55" s="325">
        <v>1</v>
      </c>
      <c r="I55" s="325">
        <f t="shared" si="21"/>
        <v>4553.8599999999997</v>
      </c>
      <c r="J55" s="326"/>
      <c r="K55" s="325">
        <v>0</v>
      </c>
      <c r="L55" s="327">
        <v>0</v>
      </c>
      <c r="M55" s="328"/>
      <c r="N55" s="328">
        <f t="shared" si="22"/>
        <v>0</v>
      </c>
      <c r="O55" s="328">
        <f t="shared" si="23"/>
        <v>0</v>
      </c>
      <c r="P55" s="327">
        <f t="shared" si="24"/>
        <v>0</v>
      </c>
      <c r="Q55" s="328">
        <f t="shared" si="25"/>
        <v>0</v>
      </c>
      <c r="R55" s="329">
        <f t="shared" si="26"/>
        <v>0</v>
      </c>
      <c r="S55" s="181"/>
      <c r="T55" s="205"/>
    </row>
    <row r="56" spans="1:21" ht="13.8">
      <c r="A56" s="229"/>
      <c r="B56" s="228" t="s">
        <v>59</v>
      </c>
      <c r="C56" s="227"/>
      <c r="D56" s="242"/>
      <c r="E56" s="242"/>
      <c r="F56" s="225"/>
      <c r="G56" s="226"/>
      <c r="H56" s="225"/>
      <c r="I56" s="225"/>
      <c r="J56" s="224"/>
      <c r="K56" s="223"/>
      <c r="L56" s="221"/>
      <c r="M56" s="221"/>
      <c r="N56" s="221"/>
      <c r="O56" s="221"/>
      <c r="P56" s="222"/>
      <c r="Q56" s="221"/>
      <c r="R56" s="220"/>
      <c r="S56" s="181"/>
      <c r="T56" s="205"/>
    </row>
    <row r="57" spans="1:21" ht="13.8">
      <c r="A57" s="313">
        <v>38</v>
      </c>
      <c r="B57" s="241" t="s">
        <v>17</v>
      </c>
      <c r="C57" s="234" t="s">
        <v>18</v>
      </c>
      <c r="D57" s="233">
        <v>47860.38</v>
      </c>
      <c r="E57" s="233">
        <v>1</v>
      </c>
      <c r="F57" s="240">
        <f t="shared" ref="F57:F68" si="28">D57*E57</f>
        <v>47860.38</v>
      </c>
      <c r="G57" s="314">
        <f t="shared" ref="G57:G68" si="29">+H57-E57</f>
        <v>0</v>
      </c>
      <c r="H57" s="315">
        <v>1</v>
      </c>
      <c r="I57" s="315">
        <f t="shared" ref="I57:I68" si="30">+H57*D57</f>
        <v>47860.38</v>
      </c>
      <c r="J57" s="330"/>
      <c r="K57" s="315">
        <v>1</v>
      </c>
      <c r="L57" s="318">
        <v>47860.38</v>
      </c>
      <c r="M57" s="317"/>
      <c r="N57" s="317">
        <f t="shared" ref="N57:N68" si="31">ROUND(M57*D57,2)</f>
        <v>0</v>
      </c>
      <c r="O57" s="317">
        <f t="shared" ref="O57:O68" si="32">M57+K57</f>
        <v>1</v>
      </c>
      <c r="P57" s="318">
        <f t="shared" ref="P57:P68" si="33">L57+N57</f>
        <v>47860.38</v>
      </c>
      <c r="Q57" s="317">
        <f t="shared" ref="Q57:Q68" si="34">IF(ISERROR(N57/I57),"",ROUND(N57/I57*100,2))</f>
        <v>0</v>
      </c>
      <c r="R57" s="319">
        <f t="shared" ref="R57:R68" si="35">IF(ISERROR(P57/I57),"",ROUND(P57/I57*100,2))</f>
        <v>100</v>
      </c>
      <c r="S57" s="181"/>
      <c r="T57" s="205"/>
    </row>
    <row r="58" spans="1:21" ht="13.8">
      <c r="A58" s="239">
        <f t="shared" ref="A58:A68" si="36">A57+1</f>
        <v>39</v>
      </c>
      <c r="B58" s="219" t="s">
        <v>32</v>
      </c>
      <c r="C58" s="218" t="s">
        <v>18</v>
      </c>
      <c r="D58" s="217">
        <v>3848.37</v>
      </c>
      <c r="E58" s="217">
        <v>1</v>
      </c>
      <c r="F58" s="216">
        <f t="shared" si="28"/>
        <v>3848.37</v>
      </c>
      <c r="G58" s="320">
        <f t="shared" si="29"/>
        <v>0</v>
      </c>
      <c r="H58" s="238">
        <v>1</v>
      </c>
      <c r="I58" s="238">
        <f t="shared" si="30"/>
        <v>3848.37</v>
      </c>
      <c r="J58" s="238"/>
      <c r="K58" s="238">
        <v>1</v>
      </c>
      <c r="L58" s="321">
        <v>3848.37</v>
      </c>
      <c r="M58" s="235"/>
      <c r="N58" s="235">
        <f t="shared" si="31"/>
        <v>0</v>
      </c>
      <c r="O58" s="235">
        <f t="shared" si="32"/>
        <v>1</v>
      </c>
      <c r="P58" s="321">
        <f t="shared" si="33"/>
        <v>3848.37</v>
      </c>
      <c r="Q58" s="235">
        <f t="shared" si="34"/>
        <v>0</v>
      </c>
      <c r="R58" s="322">
        <f t="shared" si="35"/>
        <v>100</v>
      </c>
      <c r="S58" s="181"/>
      <c r="T58" s="205"/>
    </row>
    <row r="59" spans="1:21" ht="13.8">
      <c r="A59" s="239">
        <f t="shared" si="36"/>
        <v>40</v>
      </c>
      <c r="B59" s="219" t="s">
        <v>33</v>
      </c>
      <c r="C59" s="218" t="s">
        <v>10</v>
      </c>
      <c r="D59" s="217">
        <v>27.03</v>
      </c>
      <c r="E59" s="217">
        <v>421.23</v>
      </c>
      <c r="F59" s="216">
        <f t="shared" si="28"/>
        <v>11385.85</v>
      </c>
      <c r="G59" s="320">
        <f t="shared" si="29"/>
        <v>0</v>
      </c>
      <c r="H59" s="238">
        <v>421.23</v>
      </c>
      <c r="I59" s="238">
        <f t="shared" si="30"/>
        <v>11385.85</v>
      </c>
      <c r="J59" s="238"/>
      <c r="K59" s="238">
        <v>0</v>
      </c>
      <c r="L59" s="321">
        <v>0</v>
      </c>
      <c r="M59" s="235"/>
      <c r="N59" s="235">
        <f t="shared" si="31"/>
        <v>0</v>
      </c>
      <c r="O59" s="235">
        <f t="shared" si="32"/>
        <v>0</v>
      </c>
      <c r="P59" s="321">
        <f t="shared" si="33"/>
        <v>0</v>
      </c>
      <c r="Q59" s="235">
        <f t="shared" si="34"/>
        <v>0</v>
      </c>
      <c r="R59" s="322">
        <f t="shared" si="35"/>
        <v>0</v>
      </c>
      <c r="S59" s="181"/>
      <c r="T59" s="205"/>
    </row>
    <row r="60" spans="1:21" ht="13.8">
      <c r="A60" s="239">
        <f t="shared" si="36"/>
        <v>41</v>
      </c>
      <c r="B60" s="219" t="s">
        <v>60</v>
      </c>
      <c r="C60" s="218" t="s">
        <v>10</v>
      </c>
      <c r="D60" s="217">
        <v>651.46</v>
      </c>
      <c r="E60" s="217">
        <v>379.8</v>
      </c>
      <c r="F60" s="216">
        <f t="shared" si="28"/>
        <v>247424.51</v>
      </c>
      <c r="G60" s="320">
        <f t="shared" si="29"/>
        <v>0</v>
      </c>
      <c r="H60" s="238">
        <v>379.8</v>
      </c>
      <c r="I60" s="238">
        <f t="shared" si="30"/>
        <v>247424.51</v>
      </c>
      <c r="J60" s="238"/>
      <c r="K60" s="238">
        <v>0</v>
      </c>
      <c r="L60" s="321">
        <v>0</v>
      </c>
      <c r="M60" s="235"/>
      <c r="N60" s="235">
        <f t="shared" si="31"/>
        <v>0</v>
      </c>
      <c r="O60" s="235">
        <f t="shared" si="32"/>
        <v>0</v>
      </c>
      <c r="P60" s="321">
        <f t="shared" si="33"/>
        <v>0</v>
      </c>
      <c r="Q60" s="235">
        <f t="shared" si="34"/>
        <v>0</v>
      </c>
      <c r="R60" s="322">
        <f t="shared" si="35"/>
        <v>0</v>
      </c>
      <c r="S60" s="181"/>
      <c r="T60" s="205"/>
    </row>
    <row r="61" spans="1:21" ht="13.8">
      <c r="A61" s="239">
        <f t="shared" si="36"/>
        <v>42</v>
      </c>
      <c r="B61" s="3" t="s">
        <v>35</v>
      </c>
      <c r="C61" s="10" t="s">
        <v>10</v>
      </c>
      <c r="D61" s="11">
        <v>1801.53</v>
      </c>
      <c r="E61" s="12">
        <v>95.41</v>
      </c>
      <c r="F61" s="216">
        <f t="shared" si="28"/>
        <v>171883.98</v>
      </c>
      <c r="G61" s="320">
        <f t="shared" si="29"/>
        <v>0</v>
      </c>
      <c r="H61" s="238">
        <v>95.41</v>
      </c>
      <c r="I61" s="238">
        <f t="shared" si="30"/>
        <v>171883.98</v>
      </c>
      <c r="J61" s="238"/>
      <c r="K61" s="238">
        <v>0</v>
      </c>
      <c r="L61" s="321">
        <v>0</v>
      </c>
      <c r="M61" s="235"/>
      <c r="N61" s="235">
        <f t="shared" si="31"/>
        <v>0</v>
      </c>
      <c r="O61" s="235">
        <f t="shared" si="32"/>
        <v>0</v>
      </c>
      <c r="P61" s="321">
        <f t="shared" si="33"/>
        <v>0</v>
      </c>
      <c r="Q61" s="235">
        <f t="shared" si="34"/>
        <v>0</v>
      </c>
      <c r="R61" s="322">
        <f t="shared" si="35"/>
        <v>0</v>
      </c>
      <c r="S61" s="181"/>
      <c r="T61" s="205"/>
    </row>
    <row r="62" spans="1:21" ht="13.8">
      <c r="A62" s="239">
        <f t="shared" si="36"/>
        <v>43</v>
      </c>
      <c r="B62" s="219" t="s">
        <v>36</v>
      </c>
      <c r="C62" s="218" t="s">
        <v>46</v>
      </c>
      <c r="D62" s="217">
        <v>15.35</v>
      </c>
      <c r="E62" s="217">
        <v>7046.94</v>
      </c>
      <c r="F62" s="216">
        <f t="shared" si="28"/>
        <v>108170.53</v>
      </c>
      <c r="G62" s="320">
        <f t="shared" si="29"/>
        <v>0</v>
      </c>
      <c r="H62" s="238">
        <v>7046.94</v>
      </c>
      <c r="I62" s="238">
        <f t="shared" si="30"/>
        <v>108170.53</v>
      </c>
      <c r="J62" s="238"/>
      <c r="K62" s="238">
        <v>0</v>
      </c>
      <c r="L62" s="321">
        <v>0</v>
      </c>
      <c r="M62" s="235"/>
      <c r="N62" s="235">
        <f t="shared" si="31"/>
        <v>0</v>
      </c>
      <c r="O62" s="235">
        <f t="shared" si="32"/>
        <v>0</v>
      </c>
      <c r="P62" s="321">
        <f t="shared" si="33"/>
        <v>0</v>
      </c>
      <c r="Q62" s="235">
        <f t="shared" si="34"/>
        <v>0</v>
      </c>
      <c r="R62" s="322">
        <f t="shared" si="35"/>
        <v>0</v>
      </c>
      <c r="S62" s="181"/>
      <c r="T62" s="205"/>
    </row>
    <row r="63" spans="1:21" ht="13.8">
      <c r="A63" s="239">
        <f t="shared" si="36"/>
        <v>44</v>
      </c>
      <c r="B63" s="219" t="s">
        <v>50</v>
      </c>
      <c r="C63" s="218" t="s">
        <v>47</v>
      </c>
      <c r="D63" s="217">
        <v>3139.57</v>
      </c>
      <c r="E63" s="217">
        <v>61.8</v>
      </c>
      <c r="F63" s="216">
        <f t="shared" si="28"/>
        <v>194025.43</v>
      </c>
      <c r="G63" s="320">
        <f t="shared" si="29"/>
        <v>0</v>
      </c>
      <c r="H63" s="238">
        <v>61.8</v>
      </c>
      <c r="I63" s="238">
        <f t="shared" si="30"/>
        <v>194025.43</v>
      </c>
      <c r="J63" s="238"/>
      <c r="K63" s="238">
        <v>0</v>
      </c>
      <c r="L63" s="321">
        <v>0</v>
      </c>
      <c r="M63" s="235"/>
      <c r="N63" s="235">
        <f t="shared" si="31"/>
        <v>0</v>
      </c>
      <c r="O63" s="235">
        <f t="shared" si="32"/>
        <v>0</v>
      </c>
      <c r="P63" s="321">
        <f t="shared" si="33"/>
        <v>0</v>
      </c>
      <c r="Q63" s="235">
        <f t="shared" si="34"/>
        <v>0</v>
      </c>
      <c r="R63" s="322">
        <f t="shared" si="35"/>
        <v>0</v>
      </c>
      <c r="S63" s="181"/>
      <c r="T63" s="205"/>
    </row>
    <row r="64" spans="1:21" ht="13.8">
      <c r="A64" s="239">
        <f t="shared" si="36"/>
        <v>45</v>
      </c>
      <c r="B64" s="219" t="s">
        <v>51</v>
      </c>
      <c r="C64" s="218" t="s">
        <v>58</v>
      </c>
      <c r="D64" s="217">
        <v>403.4</v>
      </c>
      <c r="E64" s="217">
        <v>26.25</v>
      </c>
      <c r="F64" s="216">
        <f t="shared" si="28"/>
        <v>10589.25</v>
      </c>
      <c r="G64" s="320">
        <f t="shared" si="29"/>
        <v>0</v>
      </c>
      <c r="H64" s="238">
        <v>26.25</v>
      </c>
      <c r="I64" s="238">
        <f t="shared" si="30"/>
        <v>10589.25</v>
      </c>
      <c r="J64" s="238"/>
      <c r="K64" s="238">
        <v>0</v>
      </c>
      <c r="L64" s="321">
        <v>0</v>
      </c>
      <c r="M64" s="235"/>
      <c r="N64" s="235">
        <f t="shared" si="31"/>
        <v>0</v>
      </c>
      <c r="O64" s="235">
        <f t="shared" si="32"/>
        <v>0</v>
      </c>
      <c r="P64" s="321">
        <f t="shared" si="33"/>
        <v>0</v>
      </c>
      <c r="Q64" s="235">
        <f t="shared" si="34"/>
        <v>0</v>
      </c>
      <c r="R64" s="322">
        <f t="shared" si="35"/>
        <v>0</v>
      </c>
      <c r="S64" s="181"/>
      <c r="T64" s="205"/>
    </row>
    <row r="65" spans="1:20" ht="13.8">
      <c r="A65" s="239">
        <f t="shared" si="36"/>
        <v>46</v>
      </c>
      <c r="B65" s="219" t="s">
        <v>52</v>
      </c>
      <c r="C65" s="218" t="s">
        <v>18</v>
      </c>
      <c r="D65" s="217">
        <v>45986.77</v>
      </c>
      <c r="E65" s="217">
        <v>1</v>
      </c>
      <c r="F65" s="216">
        <f t="shared" si="28"/>
        <v>45986.77</v>
      </c>
      <c r="G65" s="320">
        <f t="shared" si="29"/>
        <v>0</v>
      </c>
      <c r="H65" s="238">
        <v>1</v>
      </c>
      <c r="I65" s="238">
        <f t="shared" si="30"/>
        <v>45986.77</v>
      </c>
      <c r="J65" s="238"/>
      <c r="K65" s="238">
        <v>0</v>
      </c>
      <c r="L65" s="321">
        <v>0</v>
      </c>
      <c r="M65" s="235"/>
      <c r="N65" s="235">
        <f t="shared" si="31"/>
        <v>0</v>
      </c>
      <c r="O65" s="235">
        <f t="shared" si="32"/>
        <v>0</v>
      </c>
      <c r="P65" s="321">
        <f t="shared" si="33"/>
        <v>0</v>
      </c>
      <c r="Q65" s="235">
        <f t="shared" si="34"/>
        <v>0</v>
      </c>
      <c r="R65" s="322">
        <f t="shared" si="35"/>
        <v>0</v>
      </c>
      <c r="S65" s="181"/>
      <c r="T65" s="205"/>
    </row>
    <row r="66" spans="1:20" ht="13.8">
      <c r="A66" s="239">
        <f t="shared" si="36"/>
        <v>47</v>
      </c>
      <c r="B66" s="219" t="s">
        <v>53</v>
      </c>
      <c r="C66" s="218" t="s">
        <v>47</v>
      </c>
      <c r="D66" s="217">
        <v>825.66</v>
      </c>
      <c r="E66" s="217">
        <v>14.6</v>
      </c>
      <c r="F66" s="216">
        <f t="shared" si="28"/>
        <v>12054.64</v>
      </c>
      <c r="G66" s="320">
        <f t="shared" si="29"/>
        <v>0</v>
      </c>
      <c r="H66" s="238">
        <v>14.6</v>
      </c>
      <c r="I66" s="238">
        <f t="shared" si="30"/>
        <v>12054.64</v>
      </c>
      <c r="J66" s="238"/>
      <c r="K66" s="238">
        <v>0</v>
      </c>
      <c r="L66" s="321">
        <v>0</v>
      </c>
      <c r="M66" s="235"/>
      <c r="N66" s="235">
        <f t="shared" si="31"/>
        <v>0</v>
      </c>
      <c r="O66" s="235">
        <f t="shared" si="32"/>
        <v>0</v>
      </c>
      <c r="P66" s="321">
        <f t="shared" si="33"/>
        <v>0</v>
      </c>
      <c r="Q66" s="235">
        <f t="shared" si="34"/>
        <v>0</v>
      </c>
      <c r="R66" s="322">
        <f t="shared" si="35"/>
        <v>0</v>
      </c>
      <c r="S66" s="181"/>
      <c r="T66" s="205"/>
    </row>
    <row r="67" spans="1:20" ht="13.8">
      <c r="A67" s="239">
        <f t="shared" si="36"/>
        <v>48</v>
      </c>
      <c r="B67" s="219" t="s">
        <v>54</v>
      </c>
      <c r="C67" s="218" t="s">
        <v>47</v>
      </c>
      <c r="D67" s="217">
        <v>83.48</v>
      </c>
      <c r="E67" s="217">
        <v>38.799999999999997</v>
      </c>
      <c r="F67" s="216">
        <f t="shared" si="28"/>
        <v>3239.02</v>
      </c>
      <c r="G67" s="320">
        <f t="shared" si="29"/>
        <v>0</v>
      </c>
      <c r="H67" s="238">
        <v>38.799999999999997</v>
      </c>
      <c r="I67" s="238">
        <f t="shared" si="30"/>
        <v>3239.02</v>
      </c>
      <c r="J67" s="238"/>
      <c r="K67" s="238">
        <v>0</v>
      </c>
      <c r="L67" s="321">
        <v>0</v>
      </c>
      <c r="M67" s="235"/>
      <c r="N67" s="235">
        <f t="shared" si="31"/>
        <v>0</v>
      </c>
      <c r="O67" s="235">
        <f t="shared" si="32"/>
        <v>0</v>
      </c>
      <c r="P67" s="321">
        <f t="shared" si="33"/>
        <v>0</v>
      </c>
      <c r="Q67" s="235">
        <f t="shared" si="34"/>
        <v>0</v>
      </c>
      <c r="R67" s="322">
        <f t="shared" si="35"/>
        <v>0</v>
      </c>
      <c r="S67" s="181"/>
      <c r="T67" s="205"/>
    </row>
    <row r="68" spans="1:20" ht="13.8">
      <c r="A68" s="323">
        <f t="shared" si="36"/>
        <v>49</v>
      </c>
      <c r="B68" s="215" t="s">
        <v>57</v>
      </c>
      <c r="C68" s="214" t="s">
        <v>18</v>
      </c>
      <c r="D68" s="213">
        <v>4553.8599999999997</v>
      </c>
      <c r="E68" s="213">
        <v>1</v>
      </c>
      <c r="F68" s="212">
        <f t="shared" si="28"/>
        <v>4553.8599999999997</v>
      </c>
      <c r="G68" s="324">
        <f t="shared" si="29"/>
        <v>0</v>
      </c>
      <c r="H68" s="325">
        <v>1</v>
      </c>
      <c r="I68" s="325">
        <f t="shared" si="30"/>
        <v>4553.8599999999997</v>
      </c>
      <c r="J68" s="326"/>
      <c r="K68" s="331">
        <v>0</v>
      </c>
      <c r="L68" s="321">
        <v>0</v>
      </c>
      <c r="M68" s="328"/>
      <c r="N68" s="328">
        <f t="shared" si="31"/>
        <v>0</v>
      </c>
      <c r="O68" s="328">
        <f t="shared" si="32"/>
        <v>0</v>
      </c>
      <c r="P68" s="327">
        <f t="shared" si="33"/>
        <v>0</v>
      </c>
      <c r="Q68" s="328">
        <f t="shared" si="34"/>
        <v>0</v>
      </c>
      <c r="R68" s="329">
        <f t="shared" si="35"/>
        <v>0</v>
      </c>
      <c r="S68" s="181"/>
      <c r="T68" s="205"/>
    </row>
    <row r="69" spans="1:20" ht="13.8">
      <c r="A69" s="229"/>
      <c r="B69" s="228" t="s">
        <v>61</v>
      </c>
      <c r="C69" s="227"/>
      <c r="D69" s="226"/>
      <c r="E69" s="226"/>
      <c r="F69" s="225"/>
      <c r="G69" s="226"/>
      <c r="H69" s="225"/>
      <c r="I69" s="225"/>
      <c r="J69" s="224"/>
      <c r="K69" s="223"/>
      <c r="L69" s="221"/>
      <c r="M69" s="221"/>
      <c r="N69" s="221"/>
      <c r="O69" s="221"/>
      <c r="P69" s="222"/>
      <c r="Q69" s="221"/>
      <c r="R69" s="220"/>
      <c r="S69" s="181"/>
      <c r="T69" s="205"/>
    </row>
    <row r="70" spans="1:20" ht="13.8">
      <c r="A70" s="313">
        <v>50</v>
      </c>
      <c r="B70" s="7" t="s">
        <v>62</v>
      </c>
      <c r="C70" s="234" t="s">
        <v>67</v>
      </c>
      <c r="D70" s="233">
        <v>1145.2</v>
      </c>
      <c r="E70" s="233">
        <v>15</v>
      </c>
      <c r="F70" s="232">
        <f>D70*E70</f>
        <v>17178</v>
      </c>
      <c r="G70" s="314">
        <f>+H70-E70</f>
        <v>0</v>
      </c>
      <c r="H70" s="315">
        <v>15</v>
      </c>
      <c r="I70" s="315">
        <f>+H70*D70</f>
        <v>17178</v>
      </c>
      <c r="J70" s="330"/>
      <c r="K70" s="332">
        <v>0</v>
      </c>
      <c r="L70" s="318">
        <v>0</v>
      </c>
      <c r="M70" s="317"/>
      <c r="N70" s="317">
        <f t="shared" ref="N70:N74" si="37">ROUND(M70*D70,2)</f>
        <v>0</v>
      </c>
      <c r="O70" s="317">
        <f t="shared" ref="O70:O74" si="38">M70+K70</f>
        <v>0</v>
      </c>
      <c r="P70" s="318">
        <f t="shared" ref="P70:P74" si="39">L70+N70</f>
        <v>0</v>
      </c>
      <c r="Q70" s="317">
        <f>IF(ISERROR(N70/I70),"",ROUND(N70/I70*100,2))</f>
        <v>0</v>
      </c>
      <c r="R70" s="319">
        <f>IF(ISERROR(P70/I70),"",ROUND(P70/I70*100,2))</f>
        <v>0</v>
      </c>
      <c r="S70" s="181"/>
      <c r="T70" s="205"/>
    </row>
    <row r="71" spans="1:20" ht="13.8">
      <c r="A71" s="239">
        <f>1+A70</f>
        <v>51</v>
      </c>
      <c r="B71" s="8" t="s">
        <v>63</v>
      </c>
      <c r="C71" s="218" t="s">
        <v>67</v>
      </c>
      <c r="D71" s="217">
        <v>977.64</v>
      </c>
      <c r="E71" s="217">
        <v>33</v>
      </c>
      <c r="F71" s="231">
        <f>D71*E71</f>
        <v>32262.12</v>
      </c>
      <c r="G71" s="320">
        <f>+H71-E71</f>
        <v>0</v>
      </c>
      <c r="H71" s="238">
        <v>33</v>
      </c>
      <c r="I71" s="238">
        <f>+H71*D71</f>
        <v>32262.12</v>
      </c>
      <c r="J71" s="237"/>
      <c r="K71" s="236">
        <v>0</v>
      </c>
      <c r="L71" s="321">
        <v>0</v>
      </c>
      <c r="M71" s="235"/>
      <c r="N71" s="235">
        <f t="shared" si="37"/>
        <v>0</v>
      </c>
      <c r="O71" s="235">
        <f t="shared" si="38"/>
        <v>0</v>
      </c>
      <c r="P71" s="321">
        <f t="shared" si="39"/>
        <v>0</v>
      </c>
      <c r="Q71" s="235">
        <f>IF(ISERROR(N71/I71),"",ROUND(N71/I71*100,2))</f>
        <v>0</v>
      </c>
      <c r="R71" s="322">
        <f>IF(ISERROR(P71/I71),"",ROUND(P71/I71*100,2))</f>
        <v>0</v>
      </c>
      <c r="S71" s="181"/>
      <c r="T71" s="205"/>
    </row>
    <row r="72" spans="1:20" ht="13.8">
      <c r="A72" s="239">
        <f>1+A71</f>
        <v>52</v>
      </c>
      <c r="B72" s="8" t="s">
        <v>64</v>
      </c>
      <c r="C72" s="218" t="s">
        <v>67</v>
      </c>
      <c r="D72" s="217">
        <v>1497.96</v>
      </c>
      <c r="E72" s="217">
        <v>1</v>
      </c>
      <c r="F72" s="231">
        <f>D72*E72</f>
        <v>1497.96</v>
      </c>
      <c r="G72" s="320">
        <f>+H72-E72</f>
        <v>0</v>
      </c>
      <c r="H72" s="238">
        <v>1</v>
      </c>
      <c r="I72" s="238">
        <f>+H72*D72</f>
        <v>1497.96</v>
      </c>
      <c r="J72" s="237"/>
      <c r="K72" s="236">
        <v>0</v>
      </c>
      <c r="L72" s="321">
        <v>0</v>
      </c>
      <c r="M72" s="235"/>
      <c r="N72" s="235">
        <f t="shared" si="37"/>
        <v>0</v>
      </c>
      <c r="O72" s="235">
        <f t="shared" si="38"/>
        <v>0</v>
      </c>
      <c r="P72" s="321">
        <f t="shared" si="39"/>
        <v>0</v>
      </c>
      <c r="Q72" s="235">
        <f>IF(ISERROR(N72/I72),"",ROUND(N72/I72*100,2))</f>
        <v>0</v>
      </c>
      <c r="R72" s="322">
        <f>IF(ISERROR(P72/I72),"",ROUND(P72/I72*100,2))</f>
        <v>0</v>
      </c>
      <c r="S72" s="181"/>
      <c r="T72" s="205"/>
    </row>
    <row r="73" spans="1:20" ht="13.8">
      <c r="A73" s="239">
        <f>1+A72</f>
        <v>53</v>
      </c>
      <c r="B73" s="8" t="s">
        <v>65</v>
      </c>
      <c r="C73" s="218" t="s">
        <v>67</v>
      </c>
      <c r="D73" s="217">
        <v>276.64</v>
      </c>
      <c r="E73" s="217">
        <v>26</v>
      </c>
      <c r="F73" s="231">
        <f>D73*E73</f>
        <v>7192.64</v>
      </c>
      <c r="G73" s="320">
        <f>+H73-E73</f>
        <v>0</v>
      </c>
      <c r="H73" s="238">
        <v>26</v>
      </c>
      <c r="I73" s="238">
        <f>+H73*D73</f>
        <v>7192.64</v>
      </c>
      <c r="J73" s="237"/>
      <c r="K73" s="236">
        <v>0</v>
      </c>
      <c r="L73" s="321">
        <v>0</v>
      </c>
      <c r="M73" s="235"/>
      <c r="N73" s="235">
        <f t="shared" si="37"/>
        <v>0</v>
      </c>
      <c r="O73" s="235">
        <f t="shared" si="38"/>
        <v>0</v>
      </c>
      <c r="P73" s="321">
        <f t="shared" si="39"/>
        <v>0</v>
      </c>
      <c r="Q73" s="235">
        <f>IF(ISERROR(N73/I73),"",ROUND(N73/I73*100,2))</f>
        <v>0</v>
      </c>
      <c r="R73" s="322">
        <f>IF(ISERROR(P73/I73),"",ROUND(P73/I73*100,2))</f>
        <v>0</v>
      </c>
      <c r="S73" s="181"/>
      <c r="T73" s="205"/>
    </row>
    <row r="74" spans="1:20" ht="13.8">
      <c r="A74" s="323">
        <f>1+A73</f>
        <v>54</v>
      </c>
      <c r="B74" s="9" t="s">
        <v>66</v>
      </c>
      <c r="C74" s="214" t="s">
        <v>67</v>
      </c>
      <c r="D74" s="213">
        <v>235.45</v>
      </c>
      <c r="E74" s="213">
        <v>98</v>
      </c>
      <c r="F74" s="230">
        <f>D74*E74</f>
        <v>23074.1</v>
      </c>
      <c r="G74" s="324">
        <f>+H74-E74</f>
        <v>0</v>
      </c>
      <c r="H74" s="325">
        <v>98</v>
      </c>
      <c r="I74" s="325">
        <f>+H74*D74</f>
        <v>23074.1</v>
      </c>
      <c r="J74" s="326"/>
      <c r="K74" s="331">
        <v>0</v>
      </c>
      <c r="L74" s="327">
        <v>0</v>
      </c>
      <c r="M74" s="328"/>
      <c r="N74" s="328">
        <f t="shared" si="37"/>
        <v>0</v>
      </c>
      <c r="O74" s="328">
        <f t="shared" si="38"/>
        <v>0</v>
      </c>
      <c r="P74" s="327">
        <f t="shared" si="39"/>
        <v>0</v>
      </c>
      <c r="Q74" s="328">
        <f>IF(ISERROR(N74/I74),"",ROUND(N74/I74*100,2))</f>
        <v>0</v>
      </c>
      <c r="R74" s="329">
        <f>IF(ISERROR(P74/I74),"",ROUND(P74/I74*100,2))</f>
        <v>0</v>
      </c>
      <c r="S74" s="181"/>
      <c r="T74" s="205"/>
    </row>
    <row r="75" spans="1:20" ht="13.8">
      <c r="A75" s="229"/>
      <c r="B75" s="228" t="s">
        <v>68</v>
      </c>
      <c r="C75" s="227"/>
      <c r="D75" s="226"/>
      <c r="E75" s="226"/>
      <c r="F75" s="225"/>
      <c r="G75" s="226"/>
      <c r="H75" s="225"/>
      <c r="I75" s="225"/>
      <c r="J75" s="224"/>
      <c r="K75" s="223"/>
      <c r="L75" s="221"/>
      <c r="M75" s="221"/>
      <c r="N75" s="221"/>
      <c r="O75" s="221"/>
      <c r="P75" s="222"/>
      <c r="Q75" s="221"/>
      <c r="R75" s="220"/>
      <c r="S75" s="181"/>
      <c r="T75" s="205"/>
    </row>
    <row r="76" spans="1:20" ht="13.8">
      <c r="A76" s="313">
        <v>65</v>
      </c>
      <c r="B76" s="241" t="s">
        <v>69</v>
      </c>
      <c r="C76" s="234" t="s">
        <v>75</v>
      </c>
      <c r="D76" s="233">
        <v>412.06</v>
      </c>
      <c r="E76" s="233">
        <v>10</v>
      </c>
      <c r="F76" s="240">
        <f t="shared" ref="F76:F81" si="40">D76*E76</f>
        <v>4120.6000000000004</v>
      </c>
      <c r="G76" s="314">
        <f t="shared" ref="G76:G81" si="41">+H76-E76</f>
        <v>0</v>
      </c>
      <c r="H76" s="315">
        <v>10</v>
      </c>
      <c r="I76" s="315">
        <f t="shared" ref="I76:I81" si="42">+H76*D76</f>
        <v>4120.6000000000004</v>
      </c>
      <c r="J76" s="330"/>
      <c r="K76" s="332">
        <v>0</v>
      </c>
      <c r="L76" s="317">
        <v>0</v>
      </c>
      <c r="M76" s="317"/>
      <c r="N76" s="317">
        <f t="shared" ref="N76:N81" si="43">ROUND(M76*D76,2)</f>
        <v>0</v>
      </c>
      <c r="O76" s="317">
        <f t="shared" ref="O76:O81" si="44">M76+K76</f>
        <v>0</v>
      </c>
      <c r="P76" s="318">
        <f t="shared" ref="P76:P81" si="45">L76+N76</f>
        <v>0</v>
      </c>
      <c r="Q76" s="317">
        <f t="shared" ref="Q76:Q81" si="46">IF(ISERROR(N76/I76),"",ROUND(N76/I76*100,2))</f>
        <v>0</v>
      </c>
      <c r="R76" s="319">
        <f t="shared" ref="R76:R81" si="47">IF(ISERROR(P76/I76),"",ROUND(P76/I76*100,2))</f>
        <v>0</v>
      </c>
      <c r="S76" s="181"/>
      <c r="T76" s="205"/>
    </row>
    <row r="77" spans="1:20" ht="13.8">
      <c r="A77" s="239">
        <v>69</v>
      </c>
      <c r="B77" s="219" t="s">
        <v>70</v>
      </c>
      <c r="C77" s="218" t="s">
        <v>10</v>
      </c>
      <c r="D77" s="217">
        <v>337.66</v>
      </c>
      <c r="E77" s="217">
        <v>460.72</v>
      </c>
      <c r="F77" s="216">
        <f t="shared" si="40"/>
        <v>155566.72</v>
      </c>
      <c r="G77" s="320">
        <f t="shared" si="41"/>
        <v>189.38</v>
      </c>
      <c r="H77" s="238">
        <v>650.1</v>
      </c>
      <c r="I77" s="238">
        <f t="shared" si="42"/>
        <v>219512.77</v>
      </c>
      <c r="J77" s="237"/>
      <c r="K77" s="238">
        <v>460.72</v>
      </c>
      <c r="L77" s="321">
        <v>155566.72</v>
      </c>
      <c r="M77" s="235"/>
      <c r="N77" s="235">
        <f t="shared" si="43"/>
        <v>0</v>
      </c>
      <c r="O77" s="235">
        <f t="shared" si="44"/>
        <v>460.72</v>
      </c>
      <c r="P77" s="321">
        <f t="shared" si="45"/>
        <v>155566.72</v>
      </c>
      <c r="Q77" s="235">
        <f t="shared" si="46"/>
        <v>0</v>
      </c>
      <c r="R77" s="322">
        <f t="shared" si="47"/>
        <v>70.87</v>
      </c>
      <c r="S77" s="181"/>
      <c r="T77" s="205"/>
    </row>
    <row r="78" spans="1:20" ht="13.8">
      <c r="A78" s="239">
        <f>1+A77</f>
        <v>70</v>
      </c>
      <c r="B78" s="219" t="s">
        <v>71</v>
      </c>
      <c r="C78" s="218" t="s">
        <v>18</v>
      </c>
      <c r="D78" s="217">
        <v>11160.89</v>
      </c>
      <c r="E78" s="217">
        <v>0.2</v>
      </c>
      <c r="F78" s="216">
        <f t="shared" si="40"/>
        <v>2232.1799999999998</v>
      </c>
      <c r="G78" s="320">
        <f t="shared" si="41"/>
        <v>0</v>
      </c>
      <c r="H78" s="238">
        <v>0.2</v>
      </c>
      <c r="I78" s="238">
        <f t="shared" si="42"/>
        <v>2232.1799999999998</v>
      </c>
      <c r="J78" s="237"/>
      <c r="K78" s="236">
        <v>0</v>
      </c>
      <c r="L78" s="235">
        <v>0</v>
      </c>
      <c r="M78" s="235"/>
      <c r="N78" s="235">
        <f t="shared" si="43"/>
        <v>0</v>
      </c>
      <c r="O78" s="235">
        <f t="shared" si="44"/>
        <v>0</v>
      </c>
      <c r="P78" s="321">
        <f t="shared" si="45"/>
        <v>0</v>
      </c>
      <c r="Q78" s="235">
        <f t="shared" si="46"/>
        <v>0</v>
      </c>
      <c r="R78" s="322">
        <f t="shared" si="47"/>
        <v>0</v>
      </c>
      <c r="S78" s="181"/>
      <c r="T78" s="205"/>
    </row>
    <row r="79" spans="1:20" ht="13.8">
      <c r="A79" s="239">
        <f>1+A78</f>
        <v>71</v>
      </c>
      <c r="B79" s="219" t="s">
        <v>72</v>
      </c>
      <c r="C79" s="218" t="s">
        <v>25</v>
      </c>
      <c r="D79" s="217">
        <v>3424.36</v>
      </c>
      <c r="E79" s="217">
        <v>5.57</v>
      </c>
      <c r="F79" s="216">
        <f t="shared" si="40"/>
        <v>19073.689999999999</v>
      </c>
      <c r="G79" s="320">
        <f t="shared" si="41"/>
        <v>0</v>
      </c>
      <c r="H79" s="238">
        <v>5.57</v>
      </c>
      <c r="I79" s="238">
        <f t="shared" si="42"/>
        <v>19073.689999999999</v>
      </c>
      <c r="J79" s="237"/>
      <c r="K79" s="236">
        <v>0</v>
      </c>
      <c r="L79" s="235">
        <v>0</v>
      </c>
      <c r="M79" s="235"/>
      <c r="N79" s="235">
        <f t="shared" si="43"/>
        <v>0</v>
      </c>
      <c r="O79" s="235">
        <f t="shared" si="44"/>
        <v>0</v>
      </c>
      <c r="P79" s="321">
        <f t="shared" si="45"/>
        <v>0</v>
      </c>
      <c r="Q79" s="235">
        <f t="shared" si="46"/>
        <v>0</v>
      </c>
      <c r="R79" s="322">
        <f t="shared" si="47"/>
        <v>0</v>
      </c>
      <c r="S79" s="181"/>
      <c r="T79" s="205"/>
    </row>
    <row r="80" spans="1:20" ht="13.8">
      <c r="A80" s="239">
        <f>1+A79</f>
        <v>72</v>
      </c>
      <c r="B80" s="219" t="s">
        <v>73</v>
      </c>
      <c r="C80" s="218" t="s">
        <v>25</v>
      </c>
      <c r="D80" s="217">
        <v>5452.74</v>
      </c>
      <c r="E80" s="217">
        <v>4.78</v>
      </c>
      <c r="F80" s="216">
        <f t="shared" si="40"/>
        <v>26064.1</v>
      </c>
      <c r="G80" s="320">
        <f t="shared" si="41"/>
        <v>0</v>
      </c>
      <c r="H80" s="238">
        <v>4.78</v>
      </c>
      <c r="I80" s="238">
        <f t="shared" si="42"/>
        <v>26064.1</v>
      </c>
      <c r="J80" s="237"/>
      <c r="K80" s="236">
        <v>0</v>
      </c>
      <c r="L80" s="235">
        <v>0</v>
      </c>
      <c r="M80" s="235"/>
      <c r="N80" s="235">
        <f t="shared" si="43"/>
        <v>0</v>
      </c>
      <c r="O80" s="235">
        <f t="shared" si="44"/>
        <v>0</v>
      </c>
      <c r="P80" s="321">
        <f t="shared" si="45"/>
        <v>0</v>
      </c>
      <c r="Q80" s="235">
        <f t="shared" si="46"/>
        <v>0</v>
      </c>
      <c r="R80" s="322">
        <f t="shared" si="47"/>
        <v>0</v>
      </c>
      <c r="S80" s="181"/>
      <c r="T80" s="205"/>
    </row>
    <row r="81" spans="1:21" ht="13.8">
      <c r="A81" s="323">
        <v>74</v>
      </c>
      <c r="B81" s="215" t="s">
        <v>74</v>
      </c>
      <c r="C81" s="214" t="s">
        <v>18</v>
      </c>
      <c r="D81" s="213">
        <v>6376.18</v>
      </c>
      <c r="E81" s="213">
        <v>0.4</v>
      </c>
      <c r="F81" s="212">
        <f t="shared" si="40"/>
        <v>2550.4699999999998</v>
      </c>
      <c r="G81" s="324">
        <f t="shared" si="41"/>
        <v>0</v>
      </c>
      <c r="H81" s="325">
        <v>0.4</v>
      </c>
      <c r="I81" s="325">
        <f t="shared" si="42"/>
        <v>2550.4699999999998</v>
      </c>
      <c r="J81" s="326"/>
      <c r="K81" s="328">
        <v>0</v>
      </c>
      <c r="L81" s="328">
        <v>0</v>
      </c>
      <c r="M81" s="328"/>
      <c r="N81" s="328">
        <f t="shared" si="43"/>
        <v>0</v>
      </c>
      <c r="O81" s="328">
        <f t="shared" si="44"/>
        <v>0</v>
      </c>
      <c r="P81" s="327">
        <f t="shared" si="45"/>
        <v>0</v>
      </c>
      <c r="Q81" s="328">
        <f t="shared" si="46"/>
        <v>0</v>
      </c>
      <c r="R81" s="329">
        <f t="shared" si="47"/>
        <v>0</v>
      </c>
      <c r="S81" s="181"/>
      <c r="T81" s="205"/>
    </row>
    <row r="82" spans="1:21" ht="13.8">
      <c r="A82" s="333"/>
      <c r="B82" s="259"/>
      <c r="C82" s="227"/>
      <c r="D82" s="226"/>
      <c r="E82" s="334"/>
      <c r="F82" s="225"/>
      <c r="G82" s="226"/>
      <c r="H82" s="225"/>
      <c r="I82" s="225"/>
      <c r="J82" s="226"/>
      <c r="K82" s="221"/>
      <c r="L82" s="221"/>
      <c r="M82" s="221"/>
      <c r="N82" s="221"/>
      <c r="O82" s="221"/>
      <c r="P82" s="222"/>
      <c r="Q82" s="221"/>
      <c r="R82" s="335" t="str">
        <f t="shared" ref="R82" si="48">IF(ISERROR(P82/I82),"",ROUND(P82/I82*100,2))</f>
        <v/>
      </c>
    </row>
    <row r="83" spans="1:21">
      <c r="A83" s="771" t="s">
        <v>16</v>
      </c>
      <c r="B83" s="772"/>
      <c r="C83" s="772"/>
      <c r="D83" s="772"/>
      <c r="E83" s="204"/>
      <c r="F83" s="211">
        <f>SUM(F16:F81)</f>
        <v>16903840.539999999</v>
      </c>
      <c r="G83" s="204"/>
      <c r="H83" s="210"/>
      <c r="I83" s="209">
        <f>SUM(I16:I81)</f>
        <v>16903840.539999999</v>
      </c>
      <c r="J83" s="204"/>
      <c r="K83" s="204"/>
      <c r="L83" s="204">
        <f>ROUND(SUM(L16:L82),2)</f>
        <v>1748294.44</v>
      </c>
      <c r="M83" s="204"/>
      <c r="N83" s="204">
        <f>SUM(N16:N82)</f>
        <v>423382.18</v>
      </c>
      <c r="O83" s="204" t="str">
        <f>IF(M83+K83=0,"",M83+K83)</f>
        <v/>
      </c>
      <c r="P83" s="204">
        <f>ROUND(SUM(P16:P82),2)</f>
        <v>2171676.62</v>
      </c>
      <c r="Q83" s="208">
        <f>+N83/I83*100</f>
        <v>2.5</v>
      </c>
      <c r="R83" s="208"/>
      <c r="S83" s="207"/>
      <c r="T83" s="206"/>
      <c r="U83" s="205"/>
    </row>
    <row r="84" spans="1:21">
      <c r="A84" s="184"/>
      <c r="B84" s="184"/>
      <c r="C84" s="184"/>
      <c r="D84" s="184"/>
      <c r="E84" s="184"/>
      <c r="F84" s="203"/>
      <c r="G84" s="184"/>
      <c r="H84" s="184"/>
      <c r="I84" s="190"/>
      <c r="J84" s="346"/>
      <c r="K84" s="193"/>
      <c r="L84" s="192"/>
      <c r="M84" s="193"/>
      <c r="N84" s="196"/>
      <c r="O84" s="193"/>
      <c r="P84" s="192"/>
      <c r="Q84" s="184"/>
      <c r="R84" s="202"/>
    </row>
    <row r="85" spans="1:21">
      <c r="A85" s="184"/>
      <c r="B85" s="184"/>
      <c r="C85" s="184"/>
      <c r="D85" s="184"/>
      <c r="E85" s="184"/>
      <c r="F85" s="184"/>
      <c r="G85" s="184"/>
      <c r="H85" s="184"/>
      <c r="I85" s="190"/>
      <c r="J85" s="346"/>
      <c r="K85" s="193"/>
      <c r="L85" s="192"/>
      <c r="M85" s="193"/>
      <c r="N85" s="196"/>
      <c r="O85" s="193"/>
      <c r="P85" s="192"/>
      <c r="Q85" s="201"/>
      <c r="R85" s="184"/>
    </row>
    <row r="86" spans="1:21">
      <c r="A86" s="184"/>
      <c r="B86" s="184"/>
      <c r="C86" s="184"/>
      <c r="D86" s="184"/>
      <c r="E86" s="184"/>
      <c r="F86" s="200"/>
      <c r="G86" s="184"/>
      <c r="H86" s="184"/>
      <c r="I86" s="184"/>
      <c r="J86" s="346"/>
      <c r="K86" s="193"/>
      <c r="L86" s="192"/>
      <c r="M86" s="193"/>
      <c r="N86" s="199"/>
      <c r="O86" s="198"/>
      <c r="P86" s="197"/>
      <c r="Q86" s="184"/>
      <c r="R86" s="184"/>
    </row>
    <row r="87" spans="1:21">
      <c r="A87" s="184"/>
      <c r="B87" s="184"/>
      <c r="C87" s="184"/>
      <c r="D87" s="184"/>
      <c r="E87" s="184"/>
      <c r="F87" s="185"/>
      <c r="G87" s="184"/>
      <c r="H87" s="184"/>
      <c r="I87" s="184"/>
      <c r="J87" s="346"/>
      <c r="K87" s="193"/>
      <c r="L87" s="192"/>
      <c r="M87" s="193"/>
      <c r="N87" s="196"/>
      <c r="O87" s="193"/>
      <c r="P87" s="192"/>
      <c r="Q87" s="184"/>
      <c r="R87" s="184"/>
    </row>
    <row r="88" spans="1:21">
      <c r="A88" s="184"/>
      <c r="B88" s="184"/>
      <c r="C88" s="184"/>
      <c r="D88" s="184"/>
      <c r="E88" s="184"/>
      <c r="F88" s="184"/>
      <c r="G88" s="190"/>
      <c r="H88" s="184"/>
      <c r="I88" s="184"/>
      <c r="J88" s="346"/>
      <c r="K88" s="193"/>
      <c r="L88" s="195"/>
      <c r="M88" s="193"/>
      <c r="N88" s="195"/>
      <c r="O88" s="193"/>
      <c r="P88" s="195"/>
      <c r="Q88" s="194"/>
      <c r="R88" s="193"/>
    </row>
    <row r="89" spans="1:21">
      <c r="A89" s="184"/>
      <c r="B89" s="184"/>
      <c r="C89" s="184"/>
      <c r="D89" s="184"/>
      <c r="E89" s="184"/>
      <c r="F89" s="184"/>
      <c r="G89" s="190"/>
      <c r="H89" s="184"/>
      <c r="I89" s="184"/>
      <c r="J89" s="346"/>
      <c r="K89" s="193"/>
      <c r="L89" s="195"/>
      <c r="M89" s="193"/>
      <c r="N89" s="195"/>
      <c r="O89" s="193"/>
      <c r="P89" s="195"/>
      <c r="Q89" s="194"/>
      <c r="R89" s="193"/>
    </row>
    <row r="90" spans="1:21">
      <c r="A90" s="184"/>
      <c r="B90" s="184"/>
      <c r="C90" s="184"/>
      <c r="D90" s="184"/>
      <c r="E90" s="184"/>
      <c r="F90" s="184"/>
      <c r="G90" s="190"/>
      <c r="H90" s="184"/>
      <c r="I90" s="184"/>
      <c r="J90" s="346"/>
      <c r="K90" s="193"/>
      <c r="L90" s="195"/>
      <c r="M90" s="193"/>
      <c r="N90" s="195"/>
      <c r="O90" s="193"/>
      <c r="P90" s="195"/>
      <c r="Q90" s="194"/>
      <c r="R90" s="193"/>
    </row>
    <row r="91" spans="1:21">
      <c r="A91" s="184"/>
      <c r="B91" s="184"/>
      <c r="C91" s="184"/>
      <c r="D91" s="184"/>
      <c r="E91" s="184"/>
      <c r="F91" s="184"/>
      <c r="G91" s="190"/>
      <c r="H91" s="184"/>
      <c r="I91" s="184"/>
      <c r="J91" s="346"/>
      <c r="K91" s="193"/>
      <c r="L91" s="195"/>
      <c r="M91" s="193"/>
      <c r="N91" s="195"/>
      <c r="O91" s="193"/>
      <c r="P91" s="195"/>
      <c r="Q91" s="194"/>
      <c r="R91" s="193"/>
    </row>
    <row r="92" spans="1:21">
      <c r="A92" s="184"/>
      <c r="B92" s="184"/>
      <c r="C92" s="184"/>
      <c r="D92" s="184"/>
      <c r="E92" s="184"/>
      <c r="F92" s="184"/>
      <c r="G92" s="190"/>
      <c r="H92" s="184"/>
      <c r="I92" s="184"/>
      <c r="J92" s="346"/>
      <c r="K92" s="193"/>
      <c r="L92" s="195"/>
      <c r="M92" s="193"/>
      <c r="N92" s="195"/>
      <c r="O92" s="193"/>
      <c r="P92" s="195"/>
      <c r="Q92" s="194"/>
      <c r="R92" s="193"/>
    </row>
    <row r="93" spans="1:21">
      <c r="A93" s="184"/>
      <c r="B93" s="184"/>
      <c r="C93" s="184"/>
      <c r="D93" s="184"/>
      <c r="E93" s="184"/>
      <c r="F93" s="184"/>
      <c r="G93" s="190"/>
      <c r="H93" s="184"/>
      <c r="I93" s="184"/>
      <c r="J93" s="346"/>
      <c r="K93" s="193"/>
      <c r="L93" s="195"/>
      <c r="M93" s="193"/>
      <c r="N93" s="195"/>
      <c r="O93" s="193"/>
      <c r="P93" s="195"/>
      <c r="Q93" s="194"/>
      <c r="R93" s="193"/>
    </row>
    <row r="94" spans="1:21">
      <c r="A94" s="184"/>
      <c r="B94" s="184"/>
      <c r="C94" s="184"/>
      <c r="D94" s="184"/>
      <c r="E94" s="184"/>
      <c r="F94" s="184"/>
      <c r="G94" s="190"/>
      <c r="H94" s="184"/>
      <c r="I94" s="184"/>
      <c r="J94" s="346"/>
      <c r="K94" s="193"/>
      <c r="L94" s="195"/>
      <c r="M94" s="193"/>
      <c r="N94" s="195"/>
      <c r="O94" s="193"/>
      <c r="P94" s="195"/>
      <c r="Q94" s="194"/>
      <c r="R94" s="193"/>
    </row>
    <row r="95" spans="1:21">
      <c r="A95" s="184"/>
      <c r="B95" s="184"/>
      <c r="C95" s="184"/>
      <c r="D95" s="184"/>
      <c r="E95" s="184"/>
      <c r="F95" s="184"/>
      <c r="G95" s="190"/>
      <c r="H95" s="184"/>
      <c r="I95" s="184"/>
      <c r="J95" s="346"/>
      <c r="K95" s="193"/>
      <c r="L95" s="195"/>
      <c r="M95" s="193"/>
      <c r="N95" s="195"/>
      <c r="O95" s="193"/>
      <c r="P95" s="195"/>
      <c r="Q95" s="194"/>
      <c r="R95" s="193"/>
    </row>
    <row r="96" spans="1:21">
      <c r="A96" s="184"/>
      <c r="B96" s="184"/>
      <c r="C96" s="184"/>
      <c r="D96" s="184"/>
      <c r="E96" s="184"/>
      <c r="F96" s="184"/>
      <c r="G96" s="190"/>
      <c r="H96" s="184"/>
      <c r="I96" s="184"/>
      <c r="J96" s="346"/>
      <c r="K96" s="193"/>
      <c r="L96" s="195"/>
      <c r="M96" s="193"/>
      <c r="N96" s="195"/>
      <c r="O96" s="193"/>
      <c r="P96" s="195"/>
      <c r="Q96" s="194"/>
      <c r="R96" s="193"/>
    </row>
    <row r="97" spans="1:18">
      <c r="A97" s="184"/>
      <c r="B97" s="184"/>
      <c r="C97" s="184"/>
      <c r="D97" s="184"/>
      <c r="E97" s="184"/>
      <c r="F97" s="184"/>
      <c r="G97" s="184"/>
      <c r="H97" s="184"/>
      <c r="I97" s="184"/>
      <c r="J97" s="346"/>
      <c r="K97" s="193"/>
      <c r="L97" s="192"/>
      <c r="M97" s="193"/>
      <c r="N97" s="192"/>
      <c r="O97" s="193"/>
      <c r="P97" s="192"/>
      <c r="Q97" s="190"/>
      <c r="R97" s="184"/>
    </row>
    <row r="98" spans="1:18">
      <c r="A98" s="191"/>
      <c r="B98" s="184"/>
      <c r="C98" s="184"/>
      <c r="D98" s="184"/>
      <c r="E98" s="184"/>
      <c r="F98" s="189"/>
      <c r="G98" s="184"/>
      <c r="H98" s="184"/>
      <c r="I98" s="184"/>
      <c r="J98" s="346"/>
      <c r="K98" s="184"/>
      <c r="L98" s="190"/>
      <c r="M98" s="184"/>
      <c r="N98" s="184"/>
      <c r="O98" s="184"/>
      <c r="P98" s="185"/>
      <c r="Q98" s="184"/>
      <c r="R98" s="184"/>
    </row>
    <row r="99" spans="1:18">
      <c r="A99" s="184"/>
      <c r="B99" s="184"/>
      <c r="C99" s="184"/>
      <c r="D99" s="184"/>
      <c r="E99" s="184"/>
      <c r="F99" s="189"/>
      <c r="G99" s="184"/>
      <c r="H99" s="184"/>
      <c r="I99" s="184"/>
      <c r="J99" s="346"/>
      <c r="K99" s="184"/>
      <c r="L99" s="188"/>
      <c r="M99" s="184"/>
      <c r="N99" s="187"/>
      <c r="O99" s="184"/>
      <c r="P99" s="186"/>
      <c r="Q99" s="185"/>
      <c r="R99" s="184"/>
    </row>
    <row r="100" spans="1:18">
      <c r="A100" s="184"/>
      <c r="B100" s="184"/>
      <c r="C100" s="184"/>
      <c r="D100" s="184"/>
      <c r="E100" s="184"/>
      <c r="F100" s="184"/>
      <c r="G100" s="184"/>
      <c r="H100" s="184"/>
      <c r="I100" s="184"/>
      <c r="J100" s="346"/>
      <c r="K100" s="184"/>
      <c r="L100" s="184"/>
      <c r="M100" s="184"/>
      <c r="N100" s="185"/>
      <c r="O100" s="184"/>
      <c r="P100" s="184"/>
      <c r="Q100" s="184"/>
      <c r="R100" s="184"/>
    </row>
    <row r="101" spans="1:18">
      <c r="A101" s="184"/>
      <c r="B101" s="184"/>
      <c r="C101" s="184"/>
      <c r="D101" s="184"/>
      <c r="E101" s="184"/>
      <c r="F101" s="184"/>
      <c r="G101" s="184"/>
      <c r="H101" s="184"/>
      <c r="I101" s="184"/>
      <c r="J101" s="346"/>
      <c r="K101" s="184"/>
      <c r="L101" s="184"/>
      <c r="M101" s="184"/>
      <c r="N101" s="184"/>
      <c r="O101" s="184"/>
      <c r="P101" s="184"/>
      <c r="Q101" s="184"/>
      <c r="R101" s="184"/>
    </row>
    <row r="103" spans="1:18" ht="24.75" customHeight="1"/>
    <row r="104" spans="1:18">
      <c r="N104" s="183"/>
    </row>
    <row r="105" spans="1:18">
      <c r="F105" s="181"/>
      <c r="N105" s="182"/>
      <c r="O105" s="182"/>
    </row>
    <row r="106" spans="1:18">
      <c r="N106" s="181"/>
    </row>
    <row r="109" spans="1:18">
      <c r="F109" s="180"/>
    </row>
    <row r="110" spans="1:18">
      <c r="F110" s="179"/>
    </row>
    <row r="111" spans="1:18">
      <c r="E111" s="178"/>
    </row>
    <row r="112" spans="1:18">
      <c r="E112" s="177"/>
    </row>
    <row r="113" spans="5:5">
      <c r="E113" s="177"/>
    </row>
  </sheetData>
  <mergeCells count="34">
    <mergeCell ref="D10:R10"/>
    <mergeCell ref="A1:R1"/>
    <mergeCell ref="A2:R2"/>
    <mergeCell ref="A3:B3"/>
    <mergeCell ref="C3:R3"/>
    <mergeCell ref="A4:B4"/>
    <mergeCell ref="C4:R4"/>
    <mergeCell ref="D5:R5"/>
    <mergeCell ref="D6:R6"/>
    <mergeCell ref="D7:R7"/>
    <mergeCell ref="D8:R8"/>
    <mergeCell ref="D9:R9"/>
    <mergeCell ref="D11:R11"/>
    <mergeCell ref="A12:A14"/>
    <mergeCell ref="B12:B14"/>
    <mergeCell ref="C12:F12"/>
    <mergeCell ref="G12:J12"/>
    <mergeCell ref="K12:L12"/>
    <mergeCell ref="M12:N12"/>
    <mergeCell ref="O12:P12"/>
    <mergeCell ref="Q12:R12"/>
    <mergeCell ref="C13:D13"/>
    <mergeCell ref="K13:K14"/>
    <mergeCell ref="M13:M14"/>
    <mergeCell ref="O13:O14"/>
    <mergeCell ref="Q13:Q14"/>
    <mergeCell ref="R13:R14"/>
    <mergeCell ref="I13:I14"/>
    <mergeCell ref="J13:J14"/>
    <mergeCell ref="A83:D83"/>
    <mergeCell ref="E13:E14"/>
    <mergeCell ref="F13:F14"/>
    <mergeCell ref="G13:G14"/>
    <mergeCell ref="H13:H14"/>
  </mergeCells>
  <conditionalFormatting sqref="A15:R81">
    <cfRule type="expression" dxfId="8" priority="1">
      <formula>IF($M15&gt;0,1,0)</formula>
    </cfRule>
  </conditionalFormatting>
  <printOptions horizontalCentered="1"/>
  <pageMargins left="3.937007874015748E-2" right="0" top="0.43307086614173229" bottom="0.19685039370078741" header="0" footer="0"/>
  <pageSetup scale="57" fitToHeight="0" orientation="landscape" horizontalDpi="4294967293" r:id="rId1"/>
  <headerFooter scaleWithDoc="0" alignWithMargins="0"/>
  <rowBreaks count="1" manualBreakCount="1">
    <brk id="68" min="1" max="17" man="1"/>
  </rowBreaks>
  <colBreaks count="1" manualBreakCount="1">
    <brk id="18" max="1048575" man="1"/>
  </colBreaks>
  <ignoredErrors>
    <ignoredError sqref="I16:I81 F83 I83" unlocked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theme="8" tint="-0.249977111117893"/>
    <pageSetUpPr fitToPage="1"/>
  </sheetPr>
  <dimension ref="A1:AG113"/>
  <sheetViews>
    <sheetView showGridLines="0" view="pageBreakPreview" zoomScaleNormal="90" zoomScaleSheetLayoutView="100" zoomScalePageLayoutView="60" workbookViewId="0">
      <selection sqref="A1:R1"/>
    </sheetView>
  </sheetViews>
  <sheetFormatPr baseColWidth="10" defaultColWidth="11.44140625" defaultRowHeight="13.2"/>
  <cols>
    <col min="1" max="1" width="5.44140625" style="175" customWidth="1"/>
    <col min="2" max="2" width="53.44140625" style="175" customWidth="1"/>
    <col min="3" max="3" width="6.109375" style="175" customWidth="1"/>
    <col min="4" max="4" width="10.5546875" style="175" customWidth="1"/>
    <col min="5" max="5" width="10.88671875" style="175" customWidth="1"/>
    <col min="6" max="6" width="14.33203125" style="175" customWidth="1"/>
    <col min="7" max="7" width="10" style="175" customWidth="1"/>
    <col min="8" max="8" width="11.109375" style="175" customWidth="1"/>
    <col min="9" max="9" width="13.5546875" style="175" customWidth="1"/>
    <col min="10" max="10" width="8.6640625" style="347" customWidth="1"/>
    <col min="11" max="11" width="10.6640625" style="175" customWidth="1"/>
    <col min="12" max="12" width="13.88671875" style="175" customWidth="1"/>
    <col min="13" max="13" width="11.33203125" style="175" customWidth="1"/>
    <col min="14" max="14" width="15.6640625" style="175" customWidth="1"/>
    <col min="15" max="15" width="12.5546875" style="175" customWidth="1"/>
    <col min="16" max="16" width="13.6640625" style="175" customWidth="1"/>
    <col min="17" max="17" width="10.5546875" style="175" customWidth="1"/>
    <col min="18" max="18" width="10.109375" style="175" customWidth="1"/>
    <col min="19" max="19" width="20" style="175" customWidth="1"/>
    <col min="20" max="20" width="20" style="176" customWidth="1"/>
    <col min="21" max="21" width="20.33203125" style="176" customWidth="1"/>
    <col min="22" max="22" width="16" style="175" customWidth="1"/>
    <col min="23" max="23" width="11.44140625" style="175"/>
    <col min="24" max="24" width="23.44140625" style="175" customWidth="1"/>
    <col min="25" max="25" width="16.88671875" style="175" customWidth="1"/>
    <col min="26" max="16384" width="11.44140625" style="175"/>
  </cols>
  <sheetData>
    <row r="1" spans="1:25" s="276" customFormat="1" ht="23.25" customHeight="1">
      <c r="A1" s="790" t="s">
        <v>200</v>
      </c>
      <c r="B1" s="791"/>
      <c r="C1" s="791"/>
      <c r="D1" s="791"/>
      <c r="E1" s="791"/>
      <c r="F1" s="791"/>
      <c r="G1" s="791"/>
      <c r="H1" s="791"/>
      <c r="I1" s="791"/>
      <c r="J1" s="791"/>
      <c r="K1" s="791"/>
      <c r="L1" s="791"/>
      <c r="M1" s="791"/>
      <c r="N1" s="791"/>
      <c r="O1" s="791"/>
      <c r="P1" s="791"/>
      <c r="Q1" s="791"/>
      <c r="R1" s="792"/>
      <c r="T1" s="277"/>
      <c r="U1" s="277"/>
    </row>
    <row r="2" spans="1:25" s="2" customFormat="1" ht="18.75" customHeight="1">
      <c r="A2" s="793" t="str">
        <f>ANALISIS!A2:F2</f>
        <v>PROYECTO:  MEJORAMIENTO CAMINO ROSARIO DEL INGRE - MACHICOCA - IVOCA (FASE I)</v>
      </c>
      <c r="B2" s="794"/>
      <c r="C2" s="794"/>
      <c r="D2" s="794"/>
      <c r="E2" s="794"/>
      <c r="F2" s="794"/>
      <c r="G2" s="794"/>
      <c r="H2" s="794"/>
      <c r="I2" s="794"/>
      <c r="J2" s="794"/>
      <c r="K2" s="794"/>
      <c r="L2" s="794"/>
      <c r="M2" s="794"/>
      <c r="N2" s="794"/>
      <c r="O2" s="794"/>
      <c r="P2" s="794"/>
      <c r="Q2" s="794"/>
      <c r="R2" s="795"/>
      <c r="T2" s="6"/>
      <c r="U2" s="6"/>
    </row>
    <row r="3" spans="1:25" s="266" customFormat="1" ht="18.75" customHeight="1">
      <c r="A3" s="796" t="s">
        <v>9</v>
      </c>
      <c r="B3" s="719"/>
      <c r="C3" s="797" t="s">
        <v>78</v>
      </c>
      <c r="D3" s="797"/>
      <c r="E3" s="797"/>
      <c r="F3" s="797"/>
      <c r="G3" s="797"/>
      <c r="H3" s="797"/>
      <c r="I3" s="797"/>
      <c r="J3" s="797"/>
      <c r="K3" s="797"/>
      <c r="L3" s="797"/>
      <c r="M3" s="797"/>
      <c r="N3" s="797"/>
      <c r="O3" s="797"/>
      <c r="P3" s="797"/>
      <c r="Q3" s="797"/>
      <c r="R3" s="798"/>
      <c r="T3" s="267"/>
      <c r="U3" s="267"/>
    </row>
    <row r="4" spans="1:25" s="266" customFormat="1" ht="17.25" customHeight="1">
      <c r="A4" s="796" t="s">
        <v>15</v>
      </c>
      <c r="B4" s="719"/>
      <c r="C4" s="799" t="s">
        <v>77</v>
      </c>
      <c r="D4" s="799"/>
      <c r="E4" s="799"/>
      <c r="F4" s="799"/>
      <c r="G4" s="799"/>
      <c r="H4" s="799"/>
      <c r="I4" s="799"/>
      <c r="J4" s="799"/>
      <c r="K4" s="799"/>
      <c r="L4" s="799"/>
      <c r="M4" s="799"/>
      <c r="N4" s="799"/>
      <c r="O4" s="799"/>
      <c r="P4" s="799"/>
      <c r="Q4" s="799"/>
      <c r="R4" s="800"/>
      <c r="T4" s="267"/>
      <c r="U4" s="267"/>
    </row>
    <row r="5" spans="1:25" s="266" customFormat="1" ht="13.8">
      <c r="A5" s="274"/>
      <c r="B5" s="273" t="s">
        <v>11</v>
      </c>
      <c r="C5" s="272"/>
      <c r="D5" s="706">
        <v>43759</v>
      </c>
      <c r="E5" s="706"/>
      <c r="F5" s="706"/>
      <c r="G5" s="706"/>
      <c r="H5" s="706"/>
      <c r="I5" s="706"/>
      <c r="J5" s="706"/>
      <c r="K5" s="706"/>
      <c r="L5" s="706"/>
      <c r="M5" s="706"/>
      <c r="N5" s="706"/>
      <c r="O5" s="706"/>
      <c r="P5" s="706"/>
      <c r="Q5" s="706"/>
      <c r="R5" s="801"/>
      <c r="T5" s="267"/>
      <c r="U5" s="267"/>
    </row>
    <row r="6" spans="1:25" s="266" customFormat="1" ht="13.8">
      <c r="A6" s="270"/>
      <c r="B6" s="269" t="s">
        <v>12</v>
      </c>
      <c r="C6" s="271"/>
      <c r="D6" s="710" t="s">
        <v>85</v>
      </c>
      <c r="E6" s="710"/>
      <c r="F6" s="710"/>
      <c r="G6" s="710"/>
      <c r="H6" s="710"/>
      <c r="I6" s="710"/>
      <c r="J6" s="710"/>
      <c r="K6" s="710"/>
      <c r="L6" s="710"/>
      <c r="M6" s="710"/>
      <c r="N6" s="710"/>
      <c r="O6" s="710"/>
      <c r="P6" s="710"/>
      <c r="Q6" s="710"/>
      <c r="R6" s="789"/>
      <c r="T6" s="267"/>
      <c r="U6" s="267"/>
    </row>
    <row r="7" spans="1:25" s="266" customFormat="1" ht="13.8">
      <c r="A7" s="270"/>
      <c r="B7" s="269" t="s">
        <v>13</v>
      </c>
      <c r="C7" s="271"/>
      <c r="D7" s="708" t="s">
        <v>86</v>
      </c>
      <c r="E7" s="708"/>
      <c r="F7" s="708"/>
      <c r="G7" s="708"/>
      <c r="H7" s="708"/>
      <c r="I7" s="708"/>
      <c r="J7" s="708"/>
      <c r="K7" s="708"/>
      <c r="L7" s="708"/>
      <c r="M7" s="708"/>
      <c r="N7" s="708"/>
      <c r="O7" s="708"/>
      <c r="P7" s="708"/>
      <c r="Q7" s="708"/>
      <c r="R7" s="802"/>
      <c r="T7" s="267"/>
      <c r="U7" s="267"/>
    </row>
    <row r="8" spans="1:25" s="266" customFormat="1" ht="13.8">
      <c r="A8" s="270"/>
      <c r="B8" s="269" t="s">
        <v>14</v>
      </c>
      <c r="C8" s="271"/>
      <c r="D8" s="710">
        <f>600+D5</f>
        <v>44359</v>
      </c>
      <c r="E8" s="710"/>
      <c r="F8" s="710"/>
      <c r="G8" s="710"/>
      <c r="H8" s="710"/>
      <c r="I8" s="710"/>
      <c r="J8" s="710"/>
      <c r="K8" s="710"/>
      <c r="L8" s="710"/>
      <c r="M8" s="710"/>
      <c r="N8" s="710"/>
      <c r="O8" s="710"/>
      <c r="P8" s="710"/>
      <c r="Q8" s="710"/>
      <c r="R8" s="789"/>
      <c r="T8" s="267"/>
      <c r="U8" s="267"/>
    </row>
    <row r="9" spans="1:25" s="266" customFormat="1" ht="13.8">
      <c r="A9" s="270"/>
      <c r="B9" s="269" t="s">
        <v>88</v>
      </c>
      <c r="C9" s="271"/>
      <c r="D9" s="710" t="s">
        <v>87</v>
      </c>
      <c r="E9" s="710"/>
      <c r="F9" s="710"/>
      <c r="G9" s="710"/>
      <c r="H9" s="710"/>
      <c r="I9" s="710"/>
      <c r="J9" s="710"/>
      <c r="K9" s="710"/>
      <c r="L9" s="710"/>
      <c r="M9" s="710"/>
      <c r="N9" s="710"/>
      <c r="O9" s="710"/>
      <c r="P9" s="710"/>
      <c r="Q9" s="710"/>
      <c r="R9" s="789"/>
      <c r="T9" s="267"/>
      <c r="U9" s="267"/>
    </row>
    <row r="10" spans="1:25" s="266" customFormat="1" ht="13.8">
      <c r="A10" s="270"/>
      <c r="B10" s="269" t="s">
        <v>79</v>
      </c>
      <c r="C10" s="128"/>
      <c r="D10" s="710">
        <v>44570</v>
      </c>
      <c r="E10" s="710"/>
      <c r="F10" s="710"/>
      <c r="G10" s="710"/>
      <c r="H10" s="710"/>
      <c r="I10" s="710"/>
      <c r="J10" s="710"/>
      <c r="K10" s="710"/>
      <c r="L10" s="710"/>
      <c r="M10" s="710"/>
      <c r="N10" s="710"/>
      <c r="O10" s="710"/>
      <c r="P10" s="710"/>
      <c r="Q10" s="710"/>
      <c r="R10" s="789"/>
      <c r="T10" s="267"/>
      <c r="U10" s="267"/>
    </row>
    <row r="11" spans="1:25" s="266" customFormat="1" ht="13.8">
      <c r="A11" s="275"/>
      <c r="B11" s="268" t="s">
        <v>196</v>
      </c>
      <c r="C11" s="4"/>
      <c r="D11" s="775">
        <v>0</v>
      </c>
      <c r="E11" s="775"/>
      <c r="F11" s="775"/>
      <c r="G11" s="775"/>
      <c r="H11" s="775"/>
      <c r="I11" s="775"/>
      <c r="J11" s="775"/>
      <c r="K11" s="775"/>
      <c r="L11" s="775"/>
      <c r="M11" s="775"/>
      <c r="N11" s="775"/>
      <c r="O11" s="775"/>
      <c r="P11" s="775"/>
      <c r="Q11" s="775"/>
      <c r="R11" s="776"/>
      <c r="T11" s="267"/>
      <c r="U11" s="267"/>
    </row>
    <row r="12" spans="1:25" s="260" customFormat="1" ht="20.25" customHeight="1">
      <c r="A12" s="777" t="s">
        <v>2</v>
      </c>
      <c r="B12" s="728" t="s">
        <v>0</v>
      </c>
      <c r="C12" s="779" t="s">
        <v>3</v>
      </c>
      <c r="D12" s="779"/>
      <c r="E12" s="779"/>
      <c r="F12" s="779"/>
      <c r="G12" s="780" t="s">
        <v>80</v>
      </c>
      <c r="H12" s="781"/>
      <c r="I12" s="781"/>
      <c r="J12" s="782"/>
      <c r="K12" s="779" t="s">
        <v>195</v>
      </c>
      <c r="L12" s="779"/>
      <c r="M12" s="783" t="s">
        <v>194</v>
      </c>
      <c r="N12" s="784"/>
      <c r="O12" s="779" t="s">
        <v>161</v>
      </c>
      <c r="P12" s="779"/>
      <c r="Q12" s="785" t="s">
        <v>193</v>
      </c>
      <c r="R12" s="786"/>
      <c r="T12" s="261"/>
      <c r="U12" s="261"/>
    </row>
    <row r="13" spans="1:25" s="260" customFormat="1" ht="12.75" customHeight="1">
      <c r="A13" s="777"/>
      <c r="B13" s="728"/>
      <c r="C13" s="779" t="s">
        <v>5</v>
      </c>
      <c r="D13" s="779"/>
      <c r="E13" s="728" t="s">
        <v>1</v>
      </c>
      <c r="F13" s="728" t="s">
        <v>6</v>
      </c>
      <c r="G13" s="773" t="s">
        <v>81</v>
      </c>
      <c r="H13" s="773" t="s">
        <v>82</v>
      </c>
      <c r="I13" s="773" t="s">
        <v>192</v>
      </c>
      <c r="J13" s="729" t="s">
        <v>4</v>
      </c>
      <c r="K13" s="728" t="s">
        <v>1</v>
      </c>
      <c r="L13" s="265" t="s">
        <v>189</v>
      </c>
      <c r="M13" s="728" t="s">
        <v>1</v>
      </c>
      <c r="N13" s="265" t="s">
        <v>189</v>
      </c>
      <c r="O13" s="728" t="s">
        <v>1</v>
      </c>
      <c r="P13" s="265" t="s">
        <v>189</v>
      </c>
      <c r="Q13" s="728" t="s">
        <v>191</v>
      </c>
      <c r="R13" s="787" t="s">
        <v>190</v>
      </c>
      <c r="T13" s="261"/>
      <c r="U13" s="261"/>
    </row>
    <row r="14" spans="1:25" s="260" customFormat="1" ht="33.75" customHeight="1">
      <c r="A14" s="778"/>
      <c r="B14" s="729"/>
      <c r="C14" s="264" t="s">
        <v>7</v>
      </c>
      <c r="D14" s="264" t="s">
        <v>8</v>
      </c>
      <c r="E14" s="729"/>
      <c r="F14" s="729"/>
      <c r="G14" s="774"/>
      <c r="H14" s="774"/>
      <c r="I14" s="774"/>
      <c r="J14" s="770"/>
      <c r="K14" s="729"/>
      <c r="L14" s="264" t="s">
        <v>8</v>
      </c>
      <c r="M14" s="729"/>
      <c r="N14" s="264" t="s">
        <v>8</v>
      </c>
      <c r="O14" s="729"/>
      <c r="P14" s="264" t="s">
        <v>8</v>
      </c>
      <c r="Q14" s="729"/>
      <c r="R14" s="788" t="s">
        <v>188</v>
      </c>
      <c r="S14" s="263"/>
      <c r="T14" s="262"/>
      <c r="U14" s="261"/>
    </row>
    <row r="15" spans="1:25" ht="13.8">
      <c r="A15" s="229"/>
      <c r="B15" s="228" t="s">
        <v>26</v>
      </c>
      <c r="C15" s="227"/>
      <c r="D15" s="259"/>
      <c r="E15" s="259"/>
      <c r="F15" s="258"/>
      <c r="G15" s="226"/>
      <c r="H15" s="226"/>
      <c r="I15" s="226"/>
      <c r="J15" s="224"/>
      <c r="K15" s="258"/>
      <c r="L15" s="221"/>
      <c r="M15" s="221"/>
      <c r="N15" s="221"/>
      <c r="O15" s="221"/>
      <c r="P15" s="221"/>
      <c r="Q15" s="221"/>
      <c r="R15" s="220"/>
    </row>
    <row r="16" spans="1:25" ht="15">
      <c r="A16" s="313">
        <v>1</v>
      </c>
      <c r="B16" s="241" t="s">
        <v>17</v>
      </c>
      <c r="C16" s="234" t="s">
        <v>18</v>
      </c>
      <c r="D16" s="233">
        <v>47860.38</v>
      </c>
      <c r="E16" s="233">
        <v>0.5</v>
      </c>
      <c r="F16" s="240">
        <f t="shared" ref="F16:F21" si="0">D16*E16</f>
        <v>23930.19</v>
      </c>
      <c r="G16" s="314">
        <v>0</v>
      </c>
      <c r="H16" s="315">
        <v>0.5</v>
      </c>
      <c r="I16" s="315">
        <f t="shared" ref="I16:I21" si="1">+H16*D16</f>
        <v>23930.19</v>
      </c>
      <c r="J16" s="330"/>
      <c r="K16" s="317">
        <v>0.5</v>
      </c>
      <c r="L16" s="318">
        <v>23930.19</v>
      </c>
      <c r="M16" s="317"/>
      <c r="N16" s="318">
        <f t="shared" ref="N16:N21" si="2">ROUND(M16*D16,2)</f>
        <v>0</v>
      </c>
      <c r="O16" s="317">
        <f>M16+K16</f>
        <v>0.5</v>
      </c>
      <c r="P16" s="318">
        <f>L16+N16</f>
        <v>23930.19</v>
      </c>
      <c r="Q16" s="317">
        <f t="shared" ref="Q16:Q21" si="3">IF(ISERROR(N16/I16),"",ROUND(N16/I16*100,2))</f>
        <v>0</v>
      </c>
      <c r="R16" s="319">
        <f t="shared" ref="R16:R21" si="4">IF(ISERROR(P16/I16),"",ROUND(P16/I16*100,2))</f>
        <v>100</v>
      </c>
      <c r="S16" s="181">
        <f>P16-T16</f>
        <v>0</v>
      </c>
      <c r="T16" s="348">
        <v>23930.19</v>
      </c>
      <c r="W16" s="292"/>
      <c r="X16" s="292"/>
      <c r="Y16" s="294"/>
    </row>
    <row r="17" spans="1:33" ht="15">
      <c r="A17" s="239">
        <f>1+A16</f>
        <v>2</v>
      </c>
      <c r="B17" s="219" t="s">
        <v>19</v>
      </c>
      <c r="C17" s="218" t="s">
        <v>20</v>
      </c>
      <c r="D17" s="217">
        <v>4767.6099999999997</v>
      </c>
      <c r="E17" s="217">
        <v>5.57</v>
      </c>
      <c r="F17" s="216">
        <f t="shared" si="0"/>
        <v>26555.59</v>
      </c>
      <c r="G17" s="320">
        <f>+H17-E17</f>
        <v>0</v>
      </c>
      <c r="H17" s="238">
        <v>5.57</v>
      </c>
      <c r="I17" s="238">
        <f t="shared" si="1"/>
        <v>26555.59</v>
      </c>
      <c r="J17" s="237"/>
      <c r="K17" s="320">
        <v>5.57</v>
      </c>
      <c r="L17" s="321">
        <v>26555.59</v>
      </c>
      <c r="M17" s="235"/>
      <c r="N17" s="321">
        <f t="shared" si="2"/>
        <v>0</v>
      </c>
      <c r="O17" s="235">
        <f t="shared" ref="O17:O21" si="5">M17+K17</f>
        <v>5.57</v>
      </c>
      <c r="P17" s="321">
        <f t="shared" ref="P17:P21" si="6">L17+N17</f>
        <v>26555.59</v>
      </c>
      <c r="Q17" s="235">
        <f t="shared" si="3"/>
        <v>0</v>
      </c>
      <c r="R17" s="322">
        <f t="shared" si="4"/>
        <v>100</v>
      </c>
      <c r="S17" s="181">
        <f t="shared" ref="S17:S80" si="7">P17-T17</f>
        <v>0</v>
      </c>
      <c r="T17" s="348">
        <v>26555.59</v>
      </c>
      <c r="W17" s="292"/>
      <c r="X17" s="292"/>
      <c r="Y17" s="294"/>
    </row>
    <row r="18" spans="1:33" s="244" customFormat="1" ht="15">
      <c r="A18" s="239">
        <f>1+A17</f>
        <v>3</v>
      </c>
      <c r="B18" s="219" t="s">
        <v>21</v>
      </c>
      <c r="C18" s="218" t="s">
        <v>10</v>
      </c>
      <c r="D18" s="217">
        <v>15.64</v>
      </c>
      <c r="E18" s="217">
        <v>40377.64</v>
      </c>
      <c r="F18" s="216">
        <f t="shared" si="0"/>
        <v>631506.29</v>
      </c>
      <c r="G18" s="320">
        <f>+H18-E18</f>
        <v>57206.19</v>
      </c>
      <c r="H18" s="238">
        <v>97583.83</v>
      </c>
      <c r="I18" s="238">
        <f t="shared" si="1"/>
        <v>1526211.1</v>
      </c>
      <c r="J18" s="237"/>
      <c r="K18" s="235">
        <v>6756.85</v>
      </c>
      <c r="L18" s="321">
        <v>105677.13</v>
      </c>
      <c r="M18" s="235">
        <v>32402.55</v>
      </c>
      <c r="N18" s="321">
        <f t="shared" si="2"/>
        <v>506775.88</v>
      </c>
      <c r="O18" s="235">
        <f t="shared" si="5"/>
        <v>39159.4</v>
      </c>
      <c r="P18" s="321">
        <f t="shared" si="6"/>
        <v>612453.01</v>
      </c>
      <c r="Q18" s="235">
        <f t="shared" si="3"/>
        <v>33.200000000000003</v>
      </c>
      <c r="R18" s="322">
        <f t="shared" si="4"/>
        <v>40.130000000000003</v>
      </c>
      <c r="S18" s="181">
        <f t="shared" si="7"/>
        <v>-0.01</v>
      </c>
      <c r="T18" s="348">
        <v>612453.02</v>
      </c>
      <c r="U18" s="176"/>
      <c r="V18" s="247"/>
      <c r="W18" s="293"/>
      <c r="X18" s="293"/>
      <c r="Y18" s="294"/>
      <c r="Z18" s="247"/>
      <c r="AA18" s="247"/>
      <c r="AB18" s="247"/>
      <c r="AC18" s="247"/>
      <c r="AD18" s="247"/>
      <c r="AE18" s="247"/>
      <c r="AF18" s="247"/>
      <c r="AG18" s="247"/>
    </row>
    <row r="19" spans="1:33" s="244" customFormat="1" ht="15">
      <c r="A19" s="239">
        <f>1+A18</f>
        <v>4</v>
      </c>
      <c r="B19" s="219" t="s">
        <v>22</v>
      </c>
      <c r="C19" s="218" t="s">
        <v>10</v>
      </c>
      <c r="D19" s="217">
        <v>18.52</v>
      </c>
      <c r="E19" s="217">
        <v>10580</v>
      </c>
      <c r="F19" s="216">
        <f t="shared" si="0"/>
        <v>195941.6</v>
      </c>
      <c r="G19" s="320">
        <f>+H19-E19</f>
        <v>17742.57</v>
      </c>
      <c r="H19" s="238">
        <v>28322.57</v>
      </c>
      <c r="I19" s="238">
        <f t="shared" si="1"/>
        <v>524534</v>
      </c>
      <c r="J19" s="237"/>
      <c r="K19" s="235">
        <v>8739.35</v>
      </c>
      <c r="L19" s="321">
        <v>161852.76</v>
      </c>
      <c r="M19" s="235"/>
      <c r="N19" s="321">
        <f t="shared" si="2"/>
        <v>0</v>
      </c>
      <c r="O19" s="235">
        <f t="shared" si="5"/>
        <v>8739.35</v>
      </c>
      <c r="P19" s="321">
        <f t="shared" si="6"/>
        <v>161852.76</v>
      </c>
      <c r="Q19" s="235">
        <f t="shared" si="3"/>
        <v>0</v>
      </c>
      <c r="R19" s="322">
        <f t="shared" si="4"/>
        <v>30.86</v>
      </c>
      <c r="S19" s="181">
        <f t="shared" si="7"/>
        <v>0</v>
      </c>
      <c r="T19" s="348">
        <v>161852.76</v>
      </c>
      <c r="U19" s="176"/>
      <c r="V19" s="247"/>
      <c r="W19" s="293"/>
      <c r="X19" s="293"/>
      <c r="Y19" s="294"/>
      <c r="Z19" s="247"/>
      <c r="AA19" s="247"/>
      <c r="AB19" s="247"/>
      <c r="AC19" s="247"/>
      <c r="AD19" s="247"/>
      <c r="AE19" s="247"/>
      <c r="AF19" s="247"/>
      <c r="AG19" s="247"/>
    </row>
    <row r="20" spans="1:33" ht="15">
      <c r="A20" s="239">
        <f>1+A19</f>
        <v>5</v>
      </c>
      <c r="B20" s="257" t="s">
        <v>23</v>
      </c>
      <c r="C20" s="218" t="s">
        <v>10</v>
      </c>
      <c r="D20" s="217">
        <v>57.61</v>
      </c>
      <c r="E20" s="217">
        <v>11436.25</v>
      </c>
      <c r="F20" s="216">
        <f t="shared" si="0"/>
        <v>658842.36</v>
      </c>
      <c r="G20" s="320">
        <f>+H20-E20</f>
        <v>-2950.25</v>
      </c>
      <c r="H20" s="238">
        <v>8486</v>
      </c>
      <c r="I20" s="238">
        <f t="shared" si="1"/>
        <v>488878.46</v>
      </c>
      <c r="J20" s="237"/>
      <c r="K20" s="321">
        <v>4380.2</v>
      </c>
      <c r="L20" s="321">
        <v>252343.32</v>
      </c>
      <c r="M20" s="321"/>
      <c r="N20" s="321">
        <f t="shared" si="2"/>
        <v>0</v>
      </c>
      <c r="O20" s="235">
        <f t="shared" si="5"/>
        <v>4380.2</v>
      </c>
      <c r="P20" s="321">
        <f t="shared" si="6"/>
        <v>252343.32</v>
      </c>
      <c r="Q20" s="235">
        <f t="shared" si="3"/>
        <v>0</v>
      </c>
      <c r="R20" s="322">
        <f t="shared" si="4"/>
        <v>51.62</v>
      </c>
      <c r="S20" s="181">
        <f t="shared" si="7"/>
        <v>0</v>
      </c>
      <c r="T20" s="348">
        <v>252343.32</v>
      </c>
      <c r="V20" s="181"/>
      <c r="W20" s="292"/>
      <c r="X20" s="292"/>
      <c r="Y20" s="294"/>
      <c r="Z20" s="181"/>
      <c r="AA20" s="181"/>
      <c r="AB20" s="181"/>
      <c r="AC20" s="181"/>
      <c r="AD20" s="181"/>
      <c r="AE20" s="181"/>
      <c r="AF20" s="181"/>
      <c r="AG20" s="181"/>
    </row>
    <row r="21" spans="1:33" ht="15">
      <c r="A21" s="323">
        <f>1+A20</f>
        <v>6</v>
      </c>
      <c r="B21" s="256" t="s">
        <v>24</v>
      </c>
      <c r="C21" s="214" t="s">
        <v>25</v>
      </c>
      <c r="D21" s="213">
        <v>4.8600000000000003</v>
      </c>
      <c r="E21" s="213">
        <v>40296</v>
      </c>
      <c r="F21" s="230">
        <f t="shared" si="0"/>
        <v>195838.56</v>
      </c>
      <c r="G21" s="324">
        <f>+H21-E21</f>
        <v>35000</v>
      </c>
      <c r="H21" s="325">
        <v>75296</v>
      </c>
      <c r="I21" s="325">
        <f t="shared" si="1"/>
        <v>365938.56</v>
      </c>
      <c r="J21" s="326"/>
      <c r="K21" s="324">
        <v>31875</v>
      </c>
      <c r="L21" s="327">
        <v>154912.5</v>
      </c>
      <c r="M21" s="328">
        <v>8070</v>
      </c>
      <c r="N21" s="327">
        <f t="shared" si="2"/>
        <v>39220.199999999997</v>
      </c>
      <c r="O21" s="328">
        <f t="shared" si="5"/>
        <v>39945</v>
      </c>
      <c r="P21" s="327">
        <f t="shared" si="6"/>
        <v>194132.7</v>
      </c>
      <c r="Q21" s="328">
        <f t="shared" si="3"/>
        <v>10.72</v>
      </c>
      <c r="R21" s="329">
        <f t="shared" si="4"/>
        <v>53.05</v>
      </c>
      <c r="S21" s="181">
        <f t="shared" si="7"/>
        <v>0</v>
      </c>
      <c r="T21" s="348">
        <v>194132.7</v>
      </c>
      <c r="V21" s="185"/>
      <c r="W21" s="292"/>
      <c r="X21" s="292"/>
      <c r="Y21" s="294"/>
      <c r="Z21" s="181"/>
      <c r="AA21" s="181"/>
      <c r="AB21" s="181"/>
      <c r="AC21" s="181"/>
      <c r="AD21" s="181"/>
      <c r="AE21" s="181"/>
      <c r="AF21" s="181"/>
      <c r="AG21" s="181"/>
    </row>
    <row r="22" spans="1:33" ht="15">
      <c r="A22" s="229"/>
      <c r="B22" s="255" t="s">
        <v>27</v>
      </c>
      <c r="C22" s="227"/>
      <c r="D22" s="226"/>
      <c r="E22" s="226"/>
      <c r="F22" s="225"/>
      <c r="G22" s="226"/>
      <c r="H22" s="225"/>
      <c r="I22" s="225"/>
      <c r="J22" s="224"/>
      <c r="K22" s="222"/>
      <c r="L22" s="222"/>
      <c r="M22" s="221"/>
      <c r="N22" s="221"/>
      <c r="O22" s="221"/>
      <c r="P22" s="222"/>
      <c r="Q22" s="221"/>
      <c r="R22" s="220"/>
      <c r="S22" s="181">
        <f t="shared" si="7"/>
        <v>0</v>
      </c>
      <c r="T22" s="348"/>
      <c r="V22" s="183"/>
      <c r="W22" s="181"/>
      <c r="X22" s="181"/>
      <c r="Y22" s="181"/>
      <c r="Z22" s="181"/>
      <c r="AA22" s="181"/>
      <c r="AB22" s="181"/>
      <c r="AC22" s="181"/>
      <c r="AD22" s="181"/>
      <c r="AE22" s="181"/>
      <c r="AF22" s="181"/>
      <c r="AG22" s="181"/>
    </row>
    <row r="23" spans="1:33" ht="12.75" customHeight="1">
      <c r="A23" s="313">
        <v>7</v>
      </c>
      <c r="B23" s="241" t="s">
        <v>28</v>
      </c>
      <c r="C23" s="234" t="s">
        <v>10</v>
      </c>
      <c r="D23" s="233">
        <v>61.39</v>
      </c>
      <c r="E23" s="233">
        <v>23213.09</v>
      </c>
      <c r="F23" s="240">
        <f>D23*E23</f>
        <v>1425051.6</v>
      </c>
      <c r="G23" s="314">
        <f>+H23-E23</f>
        <v>0</v>
      </c>
      <c r="H23" s="315">
        <v>23213.09</v>
      </c>
      <c r="I23" s="315">
        <f>+H23*D23</f>
        <v>1425051.6</v>
      </c>
      <c r="J23" s="330"/>
      <c r="K23" s="318">
        <v>6375</v>
      </c>
      <c r="L23" s="318">
        <v>391361.25</v>
      </c>
      <c r="M23" s="317">
        <v>1210.5</v>
      </c>
      <c r="N23" s="317">
        <f t="shared" ref="N23:N27" si="8">ROUND(M23*D23,2)</f>
        <v>74312.600000000006</v>
      </c>
      <c r="O23" s="317">
        <f t="shared" ref="O23:O25" si="9">M23+K23</f>
        <v>7585.5</v>
      </c>
      <c r="P23" s="318">
        <f t="shared" ref="P23:P25" si="10">L23+N23</f>
        <v>465673.85</v>
      </c>
      <c r="Q23" s="317">
        <f>IF(ISERROR(N23/I23),"",ROUND(N23/I23*100,2))</f>
        <v>5.21</v>
      </c>
      <c r="R23" s="319">
        <f>IF(ISERROR(P23/I23),"",ROUND(P23/I23*100,2))</f>
        <v>32.68</v>
      </c>
      <c r="S23" s="181">
        <f t="shared" si="7"/>
        <v>0</v>
      </c>
      <c r="T23" s="348">
        <v>465673.85</v>
      </c>
      <c r="V23" s="181"/>
      <c r="W23" s="181"/>
      <c r="X23" s="181"/>
      <c r="Y23" s="181"/>
      <c r="Z23" s="181"/>
      <c r="AA23" s="181"/>
      <c r="AB23" s="181"/>
      <c r="AC23" s="181"/>
      <c r="AD23" s="181"/>
      <c r="AE23" s="181"/>
      <c r="AF23" s="181"/>
      <c r="AG23" s="181"/>
    </row>
    <row r="24" spans="1:33" ht="15">
      <c r="A24" s="239">
        <v>8</v>
      </c>
      <c r="B24" s="219" t="s">
        <v>29</v>
      </c>
      <c r="C24" s="218" t="s">
        <v>10</v>
      </c>
      <c r="D24" s="217">
        <v>18.55</v>
      </c>
      <c r="E24" s="217">
        <v>24098.81</v>
      </c>
      <c r="F24" s="216">
        <f>D24*E24</f>
        <v>447032.93</v>
      </c>
      <c r="G24" s="320">
        <f>+H24-E24</f>
        <v>0</v>
      </c>
      <c r="H24" s="238">
        <v>24098.81</v>
      </c>
      <c r="I24" s="238">
        <f>+H24*D24</f>
        <v>447032.93</v>
      </c>
      <c r="J24" s="237"/>
      <c r="K24" s="321">
        <v>6375</v>
      </c>
      <c r="L24" s="321">
        <v>118256.25</v>
      </c>
      <c r="M24" s="235">
        <v>1210.5</v>
      </c>
      <c r="N24" s="235">
        <f t="shared" si="8"/>
        <v>22454.78</v>
      </c>
      <c r="O24" s="235">
        <f t="shared" si="9"/>
        <v>7585.5</v>
      </c>
      <c r="P24" s="321">
        <f t="shared" si="10"/>
        <v>140711.03</v>
      </c>
      <c r="Q24" s="235">
        <f>IF(ISERROR(N24/I24),"",ROUND(N24/I24*100,2))</f>
        <v>5.0199999999999996</v>
      </c>
      <c r="R24" s="322">
        <f>IF(ISERROR(P24/I24),"",ROUND(P24/I24*100,2))</f>
        <v>31.48</v>
      </c>
      <c r="S24" s="181">
        <f t="shared" si="7"/>
        <v>0</v>
      </c>
      <c r="T24" s="348">
        <v>140711.03</v>
      </c>
      <c r="V24" s="181"/>
      <c r="W24" s="181"/>
      <c r="X24" s="181"/>
      <c r="Y24" s="181"/>
      <c r="Z24" s="181"/>
      <c r="AA24" s="181"/>
      <c r="AB24" s="181"/>
      <c r="AC24" s="181"/>
      <c r="AD24" s="181"/>
      <c r="AE24" s="181"/>
      <c r="AF24" s="181"/>
      <c r="AG24" s="181"/>
    </row>
    <row r="25" spans="1:33" ht="15">
      <c r="A25" s="323">
        <v>9</v>
      </c>
      <c r="B25" s="215" t="s">
        <v>30</v>
      </c>
      <c r="C25" s="214" t="s">
        <v>18</v>
      </c>
      <c r="D25" s="213">
        <v>44453.32</v>
      </c>
      <c r="E25" s="213">
        <v>0.4</v>
      </c>
      <c r="F25" s="212">
        <f>D25*E25</f>
        <v>17781.330000000002</v>
      </c>
      <c r="G25" s="324">
        <f>+H25-E25</f>
        <v>0</v>
      </c>
      <c r="H25" s="325">
        <v>0.4</v>
      </c>
      <c r="I25" s="325">
        <f>+H25*D25</f>
        <v>17781.330000000002</v>
      </c>
      <c r="J25" s="326"/>
      <c r="K25" s="327">
        <v>13335</v>
      </c>
      <c r="L25" s="327">
        <v>5334</v>
      </c>
      <c r="M25" s="327">
        <v>0.1</v>
      </c>
      <c r="N25" s="328">
        <f t="shared" si="8"/>
        <v>4445.33</v>
      </c>
      <c r="O25" s="327">
        <f t="shared" si="9"/>
        <v>13335.1</v>
      </c>
      <c r="P25" s="327">
        <f t="shared" si="10"/>
        <v>9779.33</v>
      </c>
      <c r="Q25" s="328">
        <f>IF(ISERROR(N25/I25),"",ROUND(N25/I25*100,2))</f>
        <v>25</v>
      </c>
      <c r="R25" s="329">
        <f>IF(ISERROR(P25/I25),"",ROUND(P25/I25*100,2))</f>
        <v>55</v>
      </c>
      <c r="S25" s="181">
        <f t="shared" si="7"/>
        <v>0</v>
      </c>
      <c r="T25" s="348">
        <v>9779.33</v>
      </c>
      <c r="V25" s="181"/>
      <c r="W25" s="181"/>
      <c r="X25" s="181"/>
      <c r="Y25" s="181"/>
      <c r="Z25" s="181"/>
      <c r="AA25" s="181"/>
      <c r="AB25" s="181"/>
      <c r="AC25" s="181"/>
      <c r="AD25" s="181"/>
      <c r="AE25" s="181"/>
      <c r="AF25" s="181"/>
      <c r="AG25" s="181"/>
    </row>
    <row r="26" spans="1:33" ht="13.5" customHeight="1">
      <c r="A26" s="229"/>
      <c r="B26" s="228" t="s">
        <v>31</v>
      </c>
      <c r="C26" s="227"/>
      <c r="D26" s="226"/>
      <c r="E26" s="226"/>
      <c r="F26" s="225"/>
      <c r="G26" s="226"/>
      <c r="H26" s="225"/>
      <c r="I26" s="225"/>
      <c r="J26" s="224"/>
      <c r="K26" s="223"/>
      <c r="L26" s="222"/>
      <c r="M26" s="221"/>
      <c r="N26" s="221"/>
      <c r="O26" s="222"/>
      <c r="P26" s="222"/>
      <c r="Q26" s="221"/>
      <c r="R26" s="220"/>
      <c r="S26" s="181">
        <f t="shared" si="7"/>
        <v>0</v>
      </c>
      <c r="T26" s="348"/>
      <c r="V26" s="181"/>
      <c r="W26" s="181"/>
      <c r="X26" s="181"/>
      <c r="Y26" s="181"/>
      <c r="Z26" s="181"/>
      <c r="AA26" s="181"/>
      <c r="AB26" s="181"/>
      <c r="AC26" s="181"/>
      <c r="AD26" s="181"/>
      <c r="AE26" s="181"/>
      <c r="AF26" s="181"/>
      <c r="AG26" s="181"/>
    </row>
    <row r="27" spans="1:33" ht="15">
      <c r="A27" s="313">
        <v>10</v>
      </c>
      <c r="B27" s="241" t="s">
        <v>32</v>
      </c>
      <c r="C27" s="234" t="s">
        <v>18</v>
      </c>
      <c r="D27" s="233">
        <v>3848.37</v>
      </c>
      <c r="E27" s="233">
        <v>0.2</v>
      </c>
      <c r="F27" s="240">
        <f t="shared" ref="F27:F40" si="11">D27*E27</f>
        <v>769.67</v>
      </c>
      <c r="G27" s="314">
        <f t="shared" ref="G27:G40" si="12">+H27-E27</f>
        <v>0</v>
      </c>
      <c r="H27" s="315">
        <v>0.2</v>
      </c>
      <c r="I27" s="315">
        <f t="shared" ref="I27:I40" si="13">+H27*D27</f>
        <v>769.67</v>
      </c>
      <c r="J27" s="330"/>
      <c r="K27" s="315">
        <v>3848.37</v>
      </c>
      <c r="L27" s="318">
        <v>769.67</v>
      </c>
      <c r="M27" s="317"/>
      <c r="N27" s="317">
        <f t="shared" si="8"/>
        <v>0</v>
      </c>
      <c r="O27" s="318">
        <f t="shared" ref="O27:O40" si="14">M27+K27</f>
        <v>3848.37</v>
      </c>
      <c r="P27" s="318">
        <f t="shared" ref="P27:P40" si="15">L27+N27</f>
        <v>769.67</v>
      </c>
      <c r="Q27" s="317">
        <f t="shared" ref="Q27:Q40" si="16">IF(ISERROR(N27/I27),"",ROUND(N27/I27*100,2))</f>
        <v>0</v>
      </c>
      <c r="R27" s="319">
        <f t="shared" ref="R27:R40" si="17">IF(ISERROR(P27/I27),"",ROUND(P27/I27*100,2))</f>
        <v>100</v>
      </c>
      <c r="S27" s="181">
        <f t="shared" si="7"/>
        <v>0</v>
      </c>
      <c r="T27" s="348">
        <v>769.67</v>
      </c>
      <c r="V27" s="181"/>
      <c r="W27" s="181"/>
      <c r="X27" s="181"/>
      <c r="Y27" s="181"/>
      <c r="Z27" s="181"/>
      <c r="AA27" s="181"/>
      <c r="AB27" s="181"/>
      <c r="AC27" s="181"/>
      <c r="AD27" s="181"/>
      <c r="AE27" s="181"/>
      <c r="AF27" s="181"/>
      <c r="AG27" s="181"/>
    </row>
    <row r="28" spans="1:33" s="244" customFormat="1" ht="15">
      <c r="A28" s="239">
        <f t="shared" ref="A28:A40" si="18">1+A27</f>
        <v>11</v>
      </c>
      <c r="B28" s="219" t="s">
        <v>33</v>
      </c>
      <c r="C28" s="218" t="s">
        <v>10</v>
      </c>
      <c r="D28" s="217">
        <v>27.03</v>
      </c>
      <c r="E28" s="217">
        <v>7899.85</v>
      </c>
      <c r="F28" s="216">
        <f t="shared" si="11"/>
        <v>213532.95</v>
      </c>
      <c r="G28" s="320">
        <f t="shared" si="12"/>
        <v>0</v>
      </c>
      <c r="H28" s="238">
        <v>7899.85</v>
      </c>
      <c r="I28" s="238">
        <f t="shared" si="13"/>
        <v>213532.95</v>
      </c>
      <c r="J28" s="237"/>
      <c r="K28" s="238">
        <v>982.89</v>
      </c>
      <c r="L28" s="321">
        <v>26567.51</v>
      </c>
      <c r="M28" s="235">
        <v>870.27</v>
      </c>
      <c r="N28" s="235">
        <f t="shared" ref="N28:N40" si="19">ROUND(M28*D28,2)</f>
        <v>23523.4</v>
      </c>
      <c r="O28" s="321">
        <f t="shared" si="14"/>
        <v>1853.16</v>
      </c>
      <c r="P28" s="321">
        <f t="shared" si="15"/>
        <v>50090.91</v>
      </c>
      <c r="Q28" s="235">
        <f t="shared" si="16"/>
        <v>11.02</v>
      </c>
      <c r="R28" s="322">
        <f t="shared" si="17"/>
        <v>23.46</v>
      </c>
      <c r="S28" s="181">
        <f t="shared" si="7"/>
        <v>0</v>
      </c>
      <c r="T28" s="348">
        <v>50090.91</v>
      </c>
      <c r="U28" s="176"/>
      <c r="V28" s="247"/>
    </row>
    <row r="29" spans="1:33" s="244" customFormat="1" ht="15.75" customHeight="1">
      <c r="A29" s="239">
        <f t="shared" si="18"/>
        <v>12</v>
      </c>
      <c r="B29" s="219" t="s">
        <v>34</v>
      </c>
      <c r="C29" s="218" t="s">
        <v>10</v>
      </c>
      <c r="D29" s="217">
        <v>652.63</v>
      </c>
      <c r="E29" s="217">
        <v>1522.75</v>
      </c>
      <c r="F29" s="216">
        <f t="shared" si="11"/>
        <v>993792.33</v>
      </c>
      <c r="G29" s="320">
        <f t="shared" si="12"/>
        <v>3076.2</v>
      </c>
      <c r="H29" s="238">
        <v>4598.95</v>
      </c>
      <c r="I29" s="238">
        <f t="shared" si="13"/>
        <v>3001412.74</v>
      </c>
      <c r="J29" s="237"/>
      <c r="K29" s="238">
        <v>604.36</v>
      </c>
      <c r="L29" s="321">
        <v>394423.46</v>
      </c>
      <c r="M29" s="235">
        <v>803.48</v>
      </c>
      <c r="N29" s="235">
        <f t="shared" si="19"/>
        <v>524375.15</v>
      </c>
      <c r="O29" s="321">
        <f t="shared" si="14"/>
        <v>1407.84</v>
      </c>
      <c r="P29" s="321">
        <f t="shared" si="15"/>
        <v>918798.61</v>
      </c>
      <c r="Q29" s="235">
        <f t="shared" si="16"/>
        <v>17.47</v>
      </c>
      <c r="R29" s="322">
        <f t="shared" si="17"/>
        <v>30.61</v>
      </c>
      <c r="S29" s="181">
        <f t="shared" si="7"/>
        <v>-0.01</v>
      </c>
      <c r="T29" s="348">
        <v>918798.62</v>
      </c>
      <c r="U29" s="176"/>
      <c r="V29" s="247"/>
    </row>
    <row r="30" spans="1:33" s="249" customFormat="1" ht="15">
      <c r="A30" s="239">
        <f t="shared" si="18"/>
        <v>13</v>
      </c>
      <c r="B30" s="219" t="s">
        <v>35</v>
      </c>
      <c r="C30" s="218" t="s">
        <v>10</v>
      </c>
      <c r="D30" s="217">
        <v>1801.53</v>
      </c>
      <c r="E30" s="217">
        <v>837.96</v>
      </c>
      <c r="F30" s="216">
        <f t="shared" si="11"/>
        <v>1509610.08</v>
      </c>
      <c r="G30" s="320">
        <f t="shared" si="12"/>
        <v>-236.8</v>
      </c>
      <c r="H30" s="238">
        <v>601.16</v>
      </c>
      <c r="I30" s="238">
        <f t="shared" si="13"/>
        <v>1083007.77</v>
      </c>
      <c r="J30" s="237"/>
      <c r="K30" s="238">
        <v>0</v>
      </c>
      <c r="L30" s="321">
        <v>0</v>
      </c>
      <c r="M30" s="235">
        <v>7.64</v>
      </c>
      <c r="N30" s="235">
        <f t="shared" si="19"/>
        <v>13763.69</v>
      </c>
      <c r="O30" s="321">
        <f t="shared" si="14"/>
        <v>7.64</v>
      </c>
      <c r="P30" s="321">
        <f t="shared" si="15"/>
        <v>13763.69</v>
      </c>
      <c r="Q30" s="235">
        <f t="shared" si="16"/>
        <v>1.27</v>
      </c>
      <c r="R30" s="322">
        <f t="shared" si="17"/>
        <v>1.27</v>
      </c>
      <c r="S30" s="181">
        <f t="shared" si="7"/>
        <v>0</v>
      </c>
      <c r="T30" s="348">
        <v>13763.69</v>
      </c>
      <c r="U30" s="176"/>
      <c r="V30" s="250"/>
    </row>
    <row r="31" spans="1:33" s="249" customFormat="1" ht="15">
      <c r="A31" s="239">
        <f t="shared" si="18"/>
        <v>14</v>
      </c>
      <c r="B31" s="219" t="s">
        <v>36</v>
      </c>
      <c r="C31" s="218" t="s">
        <v>46</v>
      </c>
      <c r="D31" s="217">
        <v>15.35</v>
      </c>
      <c r="E31" s="217">
        <v>108768.82</v>
      </c>
      <c r="F31" s="216">
        <f t="shared" si="11"/>
        <v>1669601.39</v>
      </c>
      <c r="G31" s="320">
        <f t="shared" si="12"/>
        <v>0</v>
      </c>
      <c r="H31" s="238">
        <v>108768.82</v>
      </c>
      <c r="I31" s="238">
        <f t="shared" si="13"/>
        <v>1669601.39</v>
      </c>
      <c r="J31" s="237"/>
      <c r="K31" s="238">
        <v>0</v>
      </c>
      <c r="L31" s="321">
        <v>0</v>
      </c>
      <c r="M31" s="235">
        <v>3548.04</v>
      </c>
      <c r="N31" s="235">
        <f t="shared" si="19"/>
        <v>54462.41</v>
      </c>
      <c r="O31" s="321">
        <f t="shared" si="14"/>
        <v>3548.04</v>
      </c>
      <c r="P31" s="321">
        <f t="shared" si="15"/>
        <v>54462.41</v>
      </c>
      <c r="Q31" s="235">
        <f t="shared" si="16"/>
        <v>3.26</v>
      </c>
      <c r="R31" s="322">
        <f t="shared" si="17"/>
        <v>3.26</v>
      </c>
      <c r="S31" s="181">
        <f t="shared" si="7"/>
        <v>0</v>
      </c>
      <c r="T31" s="348">
        <v>54462.41</v>
      </c>
      <c r="U31" s="176"/>
      <c r="V31" s="250"/>
    </row>
    <row r="32" spans="1:33" s="249" customFormat="1" ht="15">
      <c r="A32" s="239">
        <f t="shared" si="18"/>
        <v>15</v>
      </c>
      <c r="B32" s="219" t="s">
        <v>37</v>
      </c>
      <c r="C32" s="218" t="s">
        <v>10</v>
      </c>
      <c r="D32" s="217">
        <v>79.53</v>
      </c>
      <c r="E32" s="217">
        <v>74.010000000000005</v>
      </c>
      <c r="F32" s="216">
        <f t="shared" si="11"/>
        <v>5886.02</v>
      </c>
      <c r="G32" s="320">
        <f t="shared" si="12"/>
        <v>-34.26</v>
      </c>
      <c r="H32" s="238">
        <v>39.75</v>
      </c>
      <c r="I32" s="238">
        <f t="shared" si="13"/>
        <v>3161.32</v>
      </c>
      <c r="J32" s="237"/>
      <c r="K32" s="238">
        <v>10.5</v>
      </c>
      <c r="L32" s="321">
        <v>835.07</v>
      </c>
      <c r="M32" s="235">
        <v>2.85</v>
      </c>
      <c r="N32" s="235">
        <f t="shared" si="19"/>
        <v>226.66</v>
      </c>
      <c r="O32" s="321">
        <f t="shared" si="14"/>
        <v>13.35</v>
      </c>
      <c r="P32" s="321">
        <f t="shared" si="15"/>
        <v>1061.73</v>
      </c>
      <c r="Q32" s="235">
        <f t="shared" si="16"/>
        <v>7.17</v>
      </c>
      <c r="R32" s="322">
        <f t="shared" si="17"/>
        <v>33.590000000000003</v>
      </c>
      <c r="S32" s="181">
        <f t="shared" si="7"/>
        <v>0</v>
      </c>
      <c r="T32" s="348">
        <v>1061.73</v>
      </c>
      <c r="U32" s="176"/>
      <c r="V32" s="250"/>
    </row>
    <row r="33" spans="1:22" s="249" customFormat="1" ht="15">
      <c r="A33" s="239">
        <f t="shared" si="18"/>
        <v>16</v>
      </c>
      <c r="B33" s="219" t="s">
        <v>38</v>
      </c>
      <c r="C33" s="218" t="s">
        <v>10</v>
      </c>
      <c r="D33" s="217">
        <v>59.3</v>
      </c>
      <c r="E33" s="217">
        <v>30077.59</v>
      </c>
      <c r="F33" s="216">
        <f t="shared" si="11"/>
        <v>1783601.09</v>
      </c>
      <c r="G33" s="320">
        <f t="shared" si="12"/>
        <v>-24444.22</v>
      </c>
      <c r="H33" s="238">
        <v>5633.37</v>
      </c>
      <c r="I33" s="238">
        <f t="shared" si="13"/>
        <v>334058.84000000003</v>
      </c>
      <c r="J33" s="237"/>
      <c r="K33" s="238">
        <v>419.63</v>
      </c>
      <c r="L33" s="321">
        <v>24884.06</v>
      </c>
      <c r="M33" s="235">
        <v>1146.3900000000001</v>
      </c>
      <c r="N33" s="235">
        <f t="shared" si="19"/>
        <v>67980.929999999993</v>
      </c>
      <c r="O33" s="321">
        <f t="shared" si="14"/>
        <v>1566.02</v>
      </c>
      <c r="P33" s="321">
        <f t="shared" si="15"/>
        <v>92864.99</v>
      </c>
      <c r="Q33" s="235">
        <f t="shared" si="16"/>
        <v>20.350000000000001</v>
      </c>
      <c r="R33" s="322">
        <f t="shared" si="17"/>
        <v>27.8</v>
      </c>
      <c r="S33" s="181">
        <f t="shared" si="7"/>
        <v>0</v>
      </c>
      <c r="T33" s="348">
        <v>92864.99</v>
      </c>
      <c r="U33" s="176"/>
      <c r="V33" s="250"/>
    </row>
    <row r="34" spans="1:22" s="249" customFormat="1" ht="15">
      <c r="A34" s="239">
        <f t="shared" si="18"/>
        <v>17</v>
      </c>
      <c r="B34" s="219" t="s">
        <v>39</v>
      </c>
      <c r="C34" s="218" t="s">
        <v>25</v>
      </c>
      <c r="D34" s="217">
        <v>213.4</v>
      </c>
      <c r="E34" s="217">
        <v>384.62</v>
      </c>
      <c r="F34" s="216">
        <f t="shared" si="11"/>
        <v>82077.91</v>
      </c>
      <c r="G34" s="320">
        <f t="shared" si="12"/>
        <v>0</v>
      </c>
      <c r="H34" s="238">
        <v>384.62</v>
      </c>
      <c r="I34" s="238">
        <f t="shared" si="13"/>
        <v>82077.91</v>
      </c>
      <c r="J34" s="237"/>
      <c r="K34" s="320">
        <v>0</v>
      </c>
      <c r="L34" s="321">
        <v>0</v>
      </c>
      <c r="M34" s="235"/>
      <c r="N34" s="235">
        <f t="shared" si="19"/>
        <v>0</v>
      </c>
      <c r="O34" s="321">
        <f t="shared" si="14"/>
        <v>0</v>
      </c>
      <c r="P34" s="321">
        <f t="shared" si="15"/>
        <v>0</v>
      </c>
      <c r="Q34" s="235">
        <f t="shared" si="16"/>
        <v>0</v>
      </c>
      <c r="R34" s="322">
        <f t="shared" si="17"/>
        <v>0</v>
      </c>
      <c r="S34" s="181">
        <f t="shared" si="7"/>
        <v>0</v>
      </c>
      <c r="T34" s="348"/>
      <c r="U34" s="176"/>
      <c r="V34" s="250"/>
    </row>
    <row r="35" spans="1:22" ht="15">
      <c r="A35" s="239">
        <f t="shared" si="18"/>
        <v>18</v>
      </c>
      <c r="B35" s="219" t="s">
        <v>40</v>
      </c>
      <c r="C35" s="218" t="s">
        <v>25</v>
      </c>
      <c r="D35" s="217">
        <v>127.61</v>
      </c>
      <c r="E35" s="217">
        <v>795</v>
      </c>
      <c r="F35" s="216">
        <f t="shared" si="11"/>
        <v>101449.95</v>
      </c>
      <c r="G35" s="320">
        <f t="shared" si="12"/>
        <v>0</v>
      </c>
      <c r="H35" s="238">
        <v>795</v>
      </c>
      <c r="I35" s="238">
        <f t="shared" si="13"/>
        <v>101449.95</v>
      </c>
      <c r="J35" s="237"/>
      <c r="K35" s="236">
        <v>0</v>
      </c>
      <c r="L35" s="321">
        <v>0</v>
      </c>
      <c r="M35" s="235"/>
      <c r="N35" s="235">
        <f t="shared" si="19"/>
        <v>0</v>
      </c>
      <c r="O35" s="235">
        <f t="shared" si="14"/>
        <v>0</v>
      </c>
      <c r="P35" s="321">
        <f t="shared" si="15"/>
        <v>0</v>
      </c>
      <c r="Q35" s="235">
        <f t="shared" si="16"/>
        <v>0</v>
      </c>
      <c r="R35" s="322">
        <f t="shared" si="17"/>
        <v>0</v>
      </c>
      <c r="S35" s="181">
        <f t="shared" si="7"/>
        <v>0</v>
      </c>
      <c r="T35" s="348"/>
      <c r="V35" s="181"/>
    </row>
    <row r="36" spans="1:22" ht="15">
      <c r="A36" s="239">
        <f t="shared" si="18"/>
        <v>19</v>
      </c>
      <c r="B36" s="219" t="s">
        <v>41</v>
      </c>
      <c r="C36" s="218" t="s">
        <v>10</v>
      </c>
      <c r="D36" s="217">
        <v>474.36</v>
      </c>
      <c r="E36" s="217">
        <v>1717</v>
      </c>
      <c r="F36" s="216">
        <f t="shared" si="11"/>
        <v>814476.12</v>
      </c>
      <c r="G36" s="320">
        <f t="shared" si="12"/>
        <v>-717</v>
      </c>
      <c r="H36" s="238">
        <v>1000</v>
      </c>
      <c r="I36" s="238">
        <f t="shared" si="13"/>
        <v>474360</v>
      </c>
      <c r="J36" s="237"/>
      <c r="K36" s="238">
        <v>208.5</v>
      </c>
      <c r="L36" s="321">
        <v>98904.06</v>
      </c>
      <c r="M36" s="235">
        <v>90</v>
      </c>
      <c r="N36" s="235">
        <f t="shared" si="19"/>
        <v>42692.4</v>
      </c>
      <c r="O36" s="235">
        <f t="shared" si="14"/>
        <v>298.5</v>
      </c>
      <c r="P36" s="321">
        <f t="shared" si="15"/>
        <v>141596.46</v>
      </c>
      <c r="Q36" s="235">
        <f t="shared" si="16"/>
        <v>9</v>
      </c>
      <c r="R36" s="322">
        <f t="shared" si="17"/>
        <v>29.85</v>
      </c>
      <c r="S36" s="181">
        <f t="shared" si="7"/>
        <v>0</v>
      </c>
      <c r="T36" s="348">
        <v>141596.46</v>
      </c>
      <c r="V36" s="181"/>
    </row>
    <row r="37" spans="1:22" s="249" customFormat="1" ht="15">
      <c r="A37" s="239">
        <f t="shared" si="18"/>
        <v>20</v>
      </c>
      <c r="B37" s="219" t="s">
        <v>42</v>
      </c>
      <c r="C37" s="218" t="s">
        <v>47</v>
      </c>
      <c r="D37" s="217">
        <v>111.72</v>
      </c>
      <c r="E37" s="217">
        <v>18000</v>
      </c>
      <c r="F37" s="216">
        <f t="shared" si="11"/>
        <v>2010960</v>
      </c>
      <c r="G37" s="320">
        <f t="shared" si="12"/>
        <v>-10989.12</v>
      </c>
      <c r="H37" s="345">
        <v>7010.8841000000002</v>
      </c>
      <c r="I37" s="238">
        <f t="shared" si="13"/>
        <v>783255.97</v>
      </c>
      <c r="J37" s="237"/>
      <c r="K37" s="236">
        <v>0</v>
      </c>
      <c r="L37" s="321">
        <v>0</v>
      </c>
      <c r="M37" s="235"/>
      <c r="N37" s="235">
        <f t="shared" si="19"/>
        <v>0</v>
      </c>
      <c r="O37" s="235">
        <f t="shared" si="14"/>
        <v>0</v>
      </c>
      <c r="P37" s="321">
        <f t="shared" si="15"/>
        <v>0</v>
      </c>
      <c r="Q37" s="235">
        <f t="shared" si="16"/>
        <v>0</v>
      </c>
      <c r="R37" s="322">
        <f t="shared" si="17"/>
        <v>0</v>
      </c>
      <c r="S37" s="181">
        <f t="shared" si="7"/>
        <v>0</v>
      </c>
      <c r="T37" s="348">
        <v>0</v>
      </c>
      <c r="U37" s="176"/>
      <c r="V37" s="250"/>
    </row>
    <row r="38" spans="1:22" s="249" customFormat="1" ht="15">
      <c r="A38" s="239">
        <f t="shared" si="18"/>
        <v>21</v>
      </c>
      <c r="B38" s="219" t="s">
        <v>43</v>
      </c>
      <c r="C38" s="218" t="s">
        <v>47</v>
      </c>
      <c r="D38" s="217">
        <v>1596.02</v>
      </c>
      <c r="E38" s="217">
        <v>343.55</v>
      </c>
      <c r="F38" s="216">
        <f t="shared" si="11"/>
        <v>548312.67000000004</v>
      </c>
      <c r="G38" s="320">
        <f t="shared" si="12"/>
        <v>0</v>
      </c>
      <c r="H38" s="238">
        <v>343.55</v>
      </c>
      <c r="I38" s="238">
        <f t="shared" si="13"/>
        <v>548312.67000000004</v>
      </c>
      <c r="J38" s="237"/>
      <c r="K38" s="236">
        <v>79</v>
      </c>
      <c r="L38" s="321">
        <v>126085.58</v>
      </c>
      <c r="M38" s="235">
        <v>19</v>
      </c>
      <c r="N38" s="235">
        <f t="shared" si="19"/>
        <v>30324.38</v>
      </c>
      <c r="O38" s="235">
        <f t="shared" si="14"/>
        <v>98</v>
      </c>
      <c r="P38" s="321">
        <f t="shared" si="15"/>
        <v>156409.96</v>
      </c>
      <c r="Q38" s="235">
        <f t="shared" si="16"/>
        <v>5.53</v>
      </c>
      <c r="R38" s="322">
        <f t="shared" si="17"/>
        <v>28.53</v>
      </c>
      <c r="S38" s="181">
        <f t="shared" si="7"/>
        <v>0</v>
      </c>
      <c r="T38" s="348">
        <v>156409.96</v>
      </c>
      <c r="U38" s="176"/>
      <c r="V38" s="250"/>
    </row>
    <row r="39" spans="1:22" ht="15">
      <c r="A39" s="239">
        <f t="shared" si="18"/>
        <v>22</v>
      </c>
      <c r="B39" s="219" t="s">
        <v>44</v>
      </c>
      <c r="C39" s="218" t="s">
        <v>10</v>
      </c>
      <c r="D39" s="217">
        <v>638.48</v>
      </c>
      <c r="E39" s="217">
        <v>70.819999999999993</v>
      </c>
      <c r="F39" s="216">
        <f t="shared" si="11"/>
        <v>45217.15</v>
      </c>
      <c r="G39" s="320">
        <f t="shared" si="12"/>
        <v>0</v>
      </c>
      <c r="H39" s="238">
        <v>70.819999999999993</v>
      </c>
      <c r="I39" s="238">
        <f t="shared" si="13"/>
        <v>45217.15</v>
      </c>
      <c r="J39" s="237"/>
      <c r="K39" s="236">
        <v>0</v>
      </c>
      <c r="L39" s="321">
        <v>0</v>
      </c>
      <c r="M39" s="235"/>
      <c r="N39" s="235">
        <f t="shared" si="19"/>
        <v>0</v>
      </c>
      <c r="O39" s="235">
        <f t="shared" si="14"/>
        <v>0</v>
      </c>
      <c r="P39" s="321">
        <f t="shared" si="15"/>
        <v>0</v>
      </c>
      <c r="Q39" s="235">
        <f t="shared" si="16"/>
        <v>0</v>
      </c>
      <c r="R39" s="322">
        <f t="shared" si="17"/>
        <v>0</v>
      </c>
      <c r="S39" s="181">
        <f t="shared" si="7"/>
        <v>0</v>
      </c>
      <c r="T39" s="348"/>
      <c r="V39" s="181"/>
    </row>
    <row r="40" spans="1:22" ht="15">
      <c r="A40" s="323">
        <f t="shared" si="18"/>
        <v>23</v>
      </c>
      <c r="B40" s="215" t="s">
        <v>45</v>
      </c>
      <c r="C40" s="214" t="s">
        <v>47</v>
      </c>
      <c r="D40" s="213">
        <v>44.35</v>
      </c>
      <c r="E40" s="213">
        <v>2726.08</v>
      </c>
      <c r="F40" s="212">
        <f t="shared" si="11"/>
        <v>120901.65</v>
      </c>
      <c r="G40" s="324">
        <f t="shared" si="12"/>
        <v>0</v>
      </c>
      <c r="H40" s="325">
        <v>2726.08</v>
      </c>
      <c r="I40" s="325">
        <f t="shared" si="13"/>
        <v>120901.65</v>
      </c>
      <c r="J40" s="326"/>
      <c r="K40" s="331">
        <v>0</v>
      </c>
      <c r="L40" s="327">
        <v>0</v>
      </c>
      <c r="M40" s="328"/>
      <c r="N40" s="328">
        <f t="shared" si="19"/>
        <v>0</v>
      </c>
      <c r="O40" s="328">
        <f t="shared" si="14"/>
        <v>0</v>
      </c>
      <c r="P40" s="327">
        <f t="shared" si="15"/>
        <v>0</v>
      </c>
      <c r="Q40" s="328">
        <f t="shared" si="16"/>
        <v>0</v>
      </c>
      <c r="R40" s="329">
        <f t="shared" si="17"/>
        <v>0</v>
      </c>
      <c r="S40" s="181">
        <f t="shared" si="7"/>
        <v>0</v>
      </c>
      <c r="T40" s="348"/>
      <c r="V40" s="181"/>
    </row>
    <row r="41" spans="1:22" ht="15">
      <c r="A41" s="229"/>
      <c r="B41" s="228" t="s">
        <v>48</v>
      </c>
      <c r="C41" s="227"/>
      <c r="D41" s="226"/>
      <c r="E41" s="226"/>
      <c r="F41" s="225"/>
      <c r="G41" s="226"/>
      <c r="H41" s="225"/>
      <c r="I41" s="225"/>
      <c r="J41" s="224"/>
      <c r="K41" s="223"/>
      <c r="L41" s="221"/>
      <c r="M41" s="221"/>
      <c r="N41" s="221"/>
      <c r="O41" s="221"/>
      <c r="P41" s="222"/>
      <c r="Q41" s="221"/>
      <c r="R41" s="220"/>
      <c r="S41" s="181">
        <f t="shared" si="7"/>
        <v>0</v>
      </c>
      <c r="T41" s="348"/>
      <c r="V41" s="181"/>
    </row>
    <row r="42" spans="1:22" ht="15">
      <c r="A42" s="313">
        <v>24</v>
      </c>
      <c r="B42" s="241" t="s">
        <v>17</v>
      </c>
      <c r="C42" s="234" t="s">
        <v>18</v>
      </c>
      <c r="D42" s="233">
        <v>47860.38</v>
      </c>
      <c r="E42" s="233">
        <v>1</v>
      </c>
      <c r="F42" s="240">
        <f t="shared" ref="F42:F55" si="20">D42*E42</f>
        <v>47860.38</v>
      </c>
      <c r="G42" s="314">
        <f t="shared" ref="G42:G55" si="21">+H42-E42</f>
        <v>0</v>
      </c>
      <c r="H42" s="315">
        <v>1</v>
      </c>
      <c r="I42" s="315">
        <f t="shared" ref="I42:I55" si="22">+H42*D42</f>
        <v>47860.38</v>
      </c>
      <c r="J42" s="330"/>
      <c r="K42" s="315">
        <v>1</v>
      </c>
      <c r="L42" s="318">
        <v>47860.38</v>
      </c>
      <c r="M42" s="317"/>
      <c r="N42" s="317">
        <f t="shared" ref="N42:N55" si="23">ROUND(M42*D42,2)</f>
        <v>0</v>
      </c>
      <c r="O42" s="317">
        <f t="shared" ref="O42:O55" si="24">M42+K42</f>
        <v>1</v>
      </c>
      <c r="P42" s="318">
        <f t="shared" ref="P42:P55" si="25">L42+N42</f>
        <v>47860.38</v>
      </c>
      <c r="Q42" s="317">
        <f t="shared" ref="Q42:Q55" si="26">IF(ISERROR(N42/I42),"",ROUND(N42/I42*100,2))</f>
        <v>0</v>
      </c>
      <c r="R42" s="319">
        <f t="shared" ref="R42:R55" si="27">IF(ISERROR(P42/I42),"",ROUND(P42/I42*100,2))</f>
        <v>100</v>
      </c>
      <c r="S42" s="181">
        <f t="shared" si="7"/>
        <v>0</v>
      </c>
      <c r="T42" s="348">
        <v>47860.38</v>
      </c>
    </row>
    <row r="43" spans="1:22" ht="15">
      <c r="A43" s="239">
        <f t="shared" ref="A43:A55" si="28">1+A42</f>
        <v>25</v>
      </c>
      <c r="B43" s="219" t="s">
        <v>32</v>
      </c>
      <c r="C43" s="218" t="s">
        <v>18</v>
      </c>
      <c r="D43" s="217">
        <v>3848.37</v>
      </c>
      <c r="E43" s="217">
        <v>1</v>
      </c>
      <c r="F43" s="216">
        <f t="shared" si="20"/>
        <v>3848.37</v>
      </c>
      <c r="G43" s="320">
        <f t="shared" si="21"/>
        <v>0</v>
      </c>
      <c r="H43" s="238">
        <v>1</v>
      </c>
      <c r="I43" s="238">
        <f t="shared" si="22"/>
        <v>3848.37</v>
      </c>
      <c r="J43" s="237"/>
      <c r="K43" s="238">
        <v>1</v>
      </c>
      <c r="L43" s="321">
        <v>3848.37</v>
      </c>
      <c r="M43" s="235"/>
      <c r="N43" s="235">
        <f t="shared" si="23"/>
        <v>0</v>
      </c>
      <c r="O43" s="235">
        <f t="shared" si="24"/>
        <v>1</v>
      </c>
      <c r="P43" s="321">
        <f t="shared" si="25"/>
        <v>3848.37</v>
      </c>
      <c r="Q43" s="235">
        <f t="shared" si="26"/>
        <v>0</v>
      </c>
      <c r="R43" s="322">
        <f t="shared" si="27"/>
        <v>100</v>
      </c>
      <c r="S43" s="181">
        <f t="shared" si="7"/>
        <v>0</v>
      </c>
      <c r="T43" s="348">
        <v>3848.37</v>
      </c>
    </row>
    <row r="44" spans="1:22" s="244" customFormat="1" ht="15">
      <c r="A44" s="239">
        <f t="shared" si="28"/>
        <v>26</v>
      </c>
      <c r="B44" s="219" t="s">
        <v>49</v>
      </c>
      <c r="C44" s="218" t="s">
        <v>10</v>
      </c>
      <c r="D44" s="217">
        <v>27.03</v>
      </c>
      <c r="E44" s="217">
        <v>797</v>
      </c>
      <c r="F44" s="216">
        <f t="shared" si="20"/>
        <v>21542.91</v>
      </c>
      <c r="G44" s="320">
        <f t="shared" si="21"/>
        <v>295.10000000000002</v>
      </c>
      <c r="H44" s="238">
        <v>1092.0999999999999</v>
      </c>
      <c r="I44" s="238">
        <f t="shared" si="22"/>
        <v>29519.46</v>
      </c>
      <c r="J44" s="237"/>
      <c r="K44" s="236">
        <v>0</v>
      </c>
      <c r="L44" s="321">
        <v>0</v>
      </c>
      <c r="M44" s="235"/>
      <c r="N44" s="235">
        <f t="shared" si="23"/>
        <v>0</v>
      </c>
      <c r="O44" s="235">
        <f t="shared" si="24"/>
        <v>0</v>
      </c>
      <c r="P44" s="321">
        <f t="shared" si="25"/>
        <v>0</v>
      </c>
      <c r="Q44" s="235">
        <f t="shared" si="26"/>
        <v>0</v>
      </c>
      <c r="R44" s="322">
        <f t="shared" si="27"/>
        <v>0</v>
      </c>
      <c r="S44" s="181">
        <f t="shared" si="7"/>
        <v>0</v>
      </c>
      <c r="T44" s="348">
        <v>0</v>
      </c>
      <c r="U44" s="176"/>
    </row>
    <row r="45" spans="1:22" s="244" customFormat="1" ht="15">
      <c r="A45" s="239">
        <f t="shared" si="28"/>
        <v>27</v>
      </c>
      <c r="B45" s="219" t="s">
        <v>35</v>
      </c>
      <c r="C45" s="218" t="s">
        <v>10</v>
      </c>
      <c r="D45" s="217">
        <v>1801.53</v>
      </c>
      <c r="E45" s="217">
        <v>486.72</v>
      </c>
      <c r="F45" s="216">
        <f t="shared" si="20"/>
        <v>876840.68</v>
      </c>
      <c r="G45" s="320">
        <f t="shared" si="21"/>
        <v>150.13999999999999</v>
      </c>
      <c r="H45" s="238">
        <v>636.86</v>
      </c>
      <c r="I45" s="238">
        <f t="shared" si="22"/>
        <v>1147322.3999999999</v>
      </c>
      <c r="J45" s="237"/>
      <c r="K45" s="236">
        <v>0</v>
      </c>
      <c r="L45" s="321">
        <v>0</v>
      </c>
      <c r="M45" s="235"/>
      <c r="N45" s="235">
        <f t="shared" si="23"/>
        <v>0</v>
      </c>
      <c r="O45" s="235">
        <f t="shared" si="24"/>
        <v>0</v>
      </c>
      <c r="P45" s="321">
        <f t="shared" si="25"/>
        <v>0</v>
      </c>
      <c r="Q45" s="235">
        <f t="shared" si="26"/>
        <v>0</v>
      </c>
      <c r="R45" s="322">
        <f t="shared" si="27"/>
        <v>0</v>
      </c>
      <c r="S45" s="181">
        <f t="shared" si="7"/>
        <v>0</v>
      </c>
      <c r="T45" s="348">
        <v>0</v>
      </c>
      <c r="U45" s="176"/>
    </row>
    <row r="46" spans="1:22" s="244" customFormat="1" ht="15">
      <c r="A46" s="239">
        <f t="shared" si="28"/>
        <v>28</v>
      </c>
      <c r="B46" s="219" t="s">
        <v>36</v>
      </c>
      <c r="C46" s="218" t="s">
        <v>46</v>
      </c>
      <c r="D46" s="217">
        <v>15.35</v>
      </c>
      <c r="E46" s="217">
        <v>31927.89</v>
      </c>
      <c r="F46" s="216">
        <f t="shared" si="20"/>
        <v>490093.11</v>
      </c>
      <c r="G46" s="320">
        <f t="shared" si="21"/>
        <v>-984.49</v>
      </c>
      <c r="H46" s="238">
        <v>30943.4</v>
      </c>
      <c r="I46" s="238">
        <f t="shared" si="22"/>
        <v>474981.19</v>
      </c>
      <c r="J46" s="237"/>
      <c r="K46" s="238">
        <v>0</v>
      </c>
      <c r="L46" s="321">
        <v>0</v>
      </c>
      <c r="M46" s="235"/>
      <c r="N46" s="235">
        <f t="shared" si="23"/>
        <v>0</v>
      </c>
      <c r="O46" s="235">
        <f t="shared" si="24"/>
        <v>0</v>
      </c>
      <c r="P46" s="321">
        <f t="shared" si="25"/>
        <v>0</v>
      </c>
      <c r="Q46" s="235">
        <f t="shared" si="26"/>
        <v>0</v>
      </c>
      <c r="R46" s="322">
        <f t="shared" si="27"/>
        <v>0</v>
      </c>
      <c r="S46" s="181">
        <f t="shared" si="7"/>
        <v>0</v>
      </c>
      <c r="T46" s="348">
        <v>0</v>
      </c>
      <c r="U46" s="176"/>
    </row>
    <row r="47" spans="1:22" ht="15">
      <c r="A47" s="239">
        <f t="shared" si="28"/>
        <v>29</v>
      </c>
      <c r="B47" s="219" t="s">
        <v>50</v>
      </c>
      <c r="C47" s="218" t="s">
        <v>47</v>
      </c>
      <c r="D47" s="217">
        <v>3943.09</v>
      </c>
      <c r="E47" s="217">
        <v>105</v>
      </c>
      <c r="F47" s="216">
        <f t="shared" si="20"/>
        <v>414024.45</v>
      </c>
      <c r="G47" s="320">
        <f t="shared" si="21"/>
        <v>35</v>
      </c>
      <c r="H47" s="238">
        <v>140</v>
      </c>
      <c r="I47" s="238">
        <f t="shared" si="22"/>
        <v>552032.6</v>
      </c>
      <c r="J47" s="237"/>
      <c r="K47" s="238">
        <v>0</v>
      </c>
      <c r="L47" s="321">
        <v>0</v>
      </c>
      <c r="M47" s="235"/>
      <c r="N47" s="235">
        <f t="shared" si="23"/>
        <v>0</v>
      </c>
      <c r="O47" s="235">
        <f t="shared" si="24"/>
        <v>0</v>
      </c>
      <c r="P47" s="321">
        <f t="shared" si="25"/>
        <v>0</v>
      </c>
      <c r="Q47" s="235">
        <f t="shared" si="26"/>
        <v>0</v>
      </c>
      <c r="R47" s="322">
        <f t="shared" si="27"/>
        <v>0</v>
      </c>
      <c r="S47" s="181">
        <f t="shared" si="7"/>
        <v>0</v>
      </c>
      <c r="T47" s="348">
        <v>0</v>
      </c>
    </row>
    <row r="48" spans="1:22" ht="15">
      <c r="A48" s="239">
        <f t="shared" si="28"/>
        <v>30</v>
      </c>
      <c r="B48" s="219" t="s">
        <v>51</v>
      </c>
      <c r="C48" s="218" t="s">
        <v>58</v>
      </c>
      <c r="D48" s="217">
        <v>403.4</v>
      </c>
      <c r="E48" s="217">
        <v>48</v>
      </c>
      <c r="F48" s="216">
        <f t="shared" si="20"/>
        <v>19363.2</v>
      </c>
      <c r="G48" s="320">
        <f t="shared" si="21"/>
        <v>16</v>
      </c>
      <c r="H48" s="238">
        <v>64</v>
      </c>
      <c r="I48" s="238">
        <f t="shared" si="22"/>
        <v>25817.599999999999</v>
      </c>
      <c r="J48" s="237"/>
      <c r="K48" s="238">
        <v>0</v>
      </c>
      <c r="L48" s="321">
        <v>0</v>
      </c>
      <c r="M48" s="235"/>
      <c r="N48" s="235">
        <f t="shared" si="23"/>
        <v>0</v>
      </c>
      <c r="O48" s="235">
        <f t="shared" si="24"/>
        <v>0</v>
      </c>
      <c r="P48" s="321">
        <f t="shared" si="25"/>
        <v>0</v>
      </c>
      <c r="Q48" s="235">
        <f t="shared" si="26"/>
        <v>0</v>
      </c>
      <c r="R48" s="322">
        <f t="shared" si="27"/>
        <v>0</v>
      </c>
      <c r="S48" s="181">
        <f t="shared" si="7"/>
        <v>0</v>
      </c>
      <c r="T48" s="348">
        <v>0</v>
      </c>
    </row>
    <row r="49" spans="1:21" ht="15">
      <c r="A49" s="239">
        <f t="shared" si="28"/>
        <v>31</v>
      </c>
      <c r="B49" s="219" t="s">
        <v>52</v>
      </c>
      <c r="C49" s="218" t="s">
        <v>18</v>
      </c>
      <c r="D49" s="217">
        <v>45986.77</v>
      </c>
      <c r="E49" s="217">
        <v>0.65</v>
      </c>
      <c r="F49" s="216">
        <f t="shared" si="20"/>
        <v>29891.4</v>
      </c>
      <c r="G49" s="320">
        <f t="shared" si="21"/>
        <v>0.22</v>
      </c>
      <c r="H49" s="238">
        <v>0.87</v>
      </c>
      <c r="I49" s="238">
        <f t="shared" si="22"/>
        <v>40008.49</v>
      </c>
      <c r="J49" s="237"/>
      <c r="K49" s="238">
        <v>0</v>
      </c>
      <c r="L49" s="321">
        <v>0</v>
      </c>
      <c r="M49" s="235"/>
      <c r="N49" s="235">
        <f t="shared" si="23"/>
        <v>0</v>
      </c>
      <c r="O49" s="235">
        <f t="shared" si="24"/>
        <v>0</v>
      </c>
      <c r="P49" s="321">
        <f t="shared" si="25"/>
        <v>0</v>
      </c>
      <c r="Q49" s="235">
        <f t="shared" si="26"/>
        <v>0</v>
      </c>
      <c r="R49" s="322">
        <f t="shared" si="27"/>
        <v>0</v>
      </c>
      <c r="S49" s="181">
        <f t="shared" si="7"/>
        <v>0</v>
      </c>
      <c r="T49" s="348">
        <v>0</v>
      </c>
    </row>
    <row r="50" spans="1:21" ht="15">
      <c r="A50" s="239">
        <f t="shared" si="28"/>
        <v>32</v>
      </c>
      <c r="B50" s="219" t="s">
        <v>53</v>
      </c>
      <c r="C50" s="218" t="s">
        <v>47</v>
      </c>
      <c r="D50" s="217">
        <v>825.66</v>
      </c>
      <c r="E50" s="217">
        <v>18.2</v>
      </c>
      <c r="F50" s="216">
        <f t="shared" si="20"/>
        <v>15027.01</v>
      </c>
      <c r="G50" s="320">
        <f t="shared" si="21"/>
        <v>0</v>
      </c>
      <c r="H50" s="238">
        <v>18.2</v>
      </c>
      <c r="I50" s="238">
        <f t="shared" si="22"/>
        <v>15027.01</v>
      </c>
      <c r="J50" s="237"/>
      <c r="K50" s="238">
        <v>0</v>
      </c>
      <c r="L50" s="321">
        <v>0</v>
      </c>
      <c r="M50" s="235"/>
      <c r="N50" s="235">
        <f t="shared" si="23"/>
        <v>0</v>
      </c>
      <c r="O50" s="235">
        <f t="shared" si="24"/>
        <v>0</v>
      </c>
      <c r="P50" s="321">
        <f t="shared" si="25"/>
        <v>0</v>
      </c>
      <c r="Q50" s="235">
        <f t="shared" si="26"/>
        <v>0</v>
      </c>
      <c r="R50" s="322">
        <f t="shared" si="27"/>
        <v>0</v>
      </c>
      <c r="S50" s="181">
        <f t="shared" si="7"/>
        <v>0</v>
      </c>
      <c r="T50" s="348">
        <v>0</v>
      </c>
    </row>
    <row r="51" spans="1:21" ht="15">
      <c r="A51" s="239">
        <f t="shared" si="28"/>
        <v>33</v>
      </c>
      <c r="B51" s="219" t="s">
        <v>54</v>
      </c>
      <c r="C51" s="218" t="s">
        <v>47</v>
      </c>
      <c r="D51" s="217">
        <v>83.48</v>
      </c>
      <c r="E51" s="217">
        <v>47.3</v>
      </c>
      <c r="F51" s="216">
        <f t="shared" si="20"/>
        <v>3948.6</v>
      </c>
      <c r="G51" s="320">
        <f t="shared" si="21"/>
        <v>0</v>
      </c>
      <c r="H51" s="238">
        <v>47.3</v>
      </c>
      <c r="I51" s="238">
        <f t="shared" si="22"/>
        <v>3948.6</v>
      </c>
      <c r="J51" s="237"/>
      <c r="K51" s="238">
        <v>0</v>
      </c>
      <c r="L51" s="321">
        <v>0</v>
      </c>
      <c r="M51" s="235"/>
      <c r="N51" s="235">
        <f t="shared" si="23"/>
        <v>0</v>
      </c>
      <c r="O51" s="235">
        <f t="shared" si="24"/>
        <v>0</v>
      </c>
      <c r="P51" s="321">
        <f t="shared" si="25"/>
        <v>0</v>
      </c>
      <c r="Q51" s="235">
        <f t="shared" si="26"/>
        <v>0</v>
      </c>
      <c r="R51" s="322">
        <f t="shared" si="27"/>
        <v>0</v>
      </c>
      <c r="S51" s="181">
        <f t="shared" si="7"/>
        <v>0</v>
      </c>
      <c r="T51" s="348">
        <v>0</v>
      </c>
    </row>
    <row r="52" spans="1:21" ht="15">
      <c r="A52" s="239">
        <f t="shared" si="28"/>
        <v>34</v>
      </c>
      <c r="B52" s="219" t="s">
        <v>55</v>
      </c>
      <c r="C52" s="218" t="s">
        <v>10</v>
      </c>
      <c r="D52" s="217">
        <v>150.47999999999999</v>
      </c>
      <c r="E52" s="217">
        <v>106.76</v>
      </c>
      <c r="F52" s="216">
        <f t="shared" si="20"/>
        <v>16065.24</v>
      </c>
      <c r="G52" s="320">
        <f t="shared" si="21"/>
        <v>34.57</v>
      </c>
      <c r="H52" s="238">
        <v>141.33000000000001</v>
      </c>
      <c r="I52" s="238">
        <f t="shared" si="22"/>
        <v>21267.34</v>
      </c>
      <c r="J52" s="237"/>
      <c r="K52" s="238">
        <v>0</v>
      </c>
      <c r="L52" s="321">
        <v>0</v>
      </c>
      <c r="M52" s="235"/>
      <c r="N52" s="235">
        <f t="shared" si="23"/>
        <v>0</v>
      </c>
      <c r="O52" s="235">
        <f t="shared" si="24"/>
        <v>0</v>
      </c>
      <c r="P52" s="321">
        <f t="shared" si="25"/>
        <v>0</v>
      </c>
      <c r="Q52" s="235">
        <f t="shared" si="26"/>
        <v>0</v>
      </c>
      <c r="R52" s="322">
        <f t="shared" si="27"/>
        <v>0</v>
      </c>
      <c r="S52" s="181">
        <f t="shared" si="7"/>
        <v>0</v>
      </c>
      <c r="T52" s="348">
        <v>0</v>
      </c>
    </row>
    <row r="53" spans="1:21" s="244" customFormat="1" ht="15">
      <c r="A53" s="239">
        <f t="shared" si="28"/>
        <v>35</v>
      </c>
      <c r="B53" s="219" t="s">
        <v>44</v>
      </c>
      <c r="C53" s="218" t="s">
        <v>10</v>
      </c>
      <c r="D53" s="217">
        <v>638.48</v>
      </c>
      <c r="E53" s="217">
        <v>20.6</v>
      </c>
      <c r="F53" s="216">
        <f t="shared" si="20"/>
        <v>13152.69</v>
      </c>
      <c r="G53" s="320">
        <f t="shared" si="21"/>
        <v>2.64</v>
      </c>
      <c r="H53" s="238">
        <v>23.24</v>
      </c>
      <c r="I53" s="238">
        <f t="shared" si="22"/>
        <v>14838.28</v>
      </c>
      <c r="J53" s="237"/>
      <c r="K53" s="238">
        <v>0</v>
      </c>
      <c r="L53" s="321">
        <v>0</v>
      </c>
      <c r="M53" s="235"/>
      <c r="N53" s="235">
        <f t="shared" si="23"/>
        <v>0</v>
      </c>
      <c r="O53" s="235">
        <f t="shared" si="24"/>
        <v>0</v>
      </c>
      <c r="P53" s="321">
        <f t="shared" si="25"/>
        <v>0</v>
      </c>
      <c r="Q53" s="235">
        <f t="shared" si="26"/>
        <v>0</v>
      </c>
      <c r="R53" s="322">
        <f t="shared" si="27"/>
        <v>0</v>
      </c>
      <c r="S53" s="181">
        <f t="shared" si="7"/>
        <v>0</v>
      </c>
      <c r="T53" s="348">
        <v>0</v>
      </c>
      <c r="U53" s="176"/>
    </row>
    <row r="54" spans="1:21" ht="15">
      <c r="A54" s="239">
        <f t="shared" si="28"/>
        <v>36</v>
      </c>
      <c r="B54" s="219" t="s">
        <v>56</v>
      </c>
      <c r="C54" s="218" t="s">
        <v>10</v>
      </c>
      <c r="D54" s="217">
        <v>573.79</v>
      </c>
      <c r="E54" s="217">
        <v>476</v>
      </c>
      <c r="F54" s="216">
        <f t="shared" si="20"/>
        <v>273124.03999999998</v>
      </c>
      <c r="G54" s="320">
        <f t="shared" si="21"/>
        <v>-476</v>
      </c>
      <c r="H54" s="238">
        <v>0</v>
      </c>
      <c r="I54" s="238">
        <f t="shared" si="22"/>
        <v>0</v>
      </c>
      <c r="J54" s="237"/>
      <c r="K54" s="238">
        <v>0</v>
      </c>
      <c r="L54" s="321">
        <v>0</v>
      </c>
      <c r="M54" s="235"/>
      <c r="N54" s="235">
        <f t="shared" si="23"/>
        <v>0</v>
      </c>
      <c r="O54" s="235">
        <f t="shared" si="24"/>
        <v>0</v>
      </c>
      <c r="P54" s="321">
        <f t="shared" si="25"/>
        <v>0</v>
      </c>
      <c r="Q54" s="235" t="str">
        <f t="shared" si="26"/>
        <v/>
      </c>
      <c r="R54" s="322" t="str">
        <f t="shared" si="27"/>
        <v/>
      </c>
      <c r="S54" s="181">
        <f t="shared" si="7"/>
        <v>0</v>
      </c>
      <c r="T54" s="348">
        <v>0</v>
      </c>
    </row>
    <row r="55" spans="1:21" ht="15">
      <c r="A55" s="323">
        <f t="shared" si="28"/>
        <v>37</v>
      </c>
      <c r="B55" s="215" t="s">
        <v>57</v>
      </c>
      <c r="C55" s="214" t="s">
        <v>18</v>
      </c>
      <c r="D55" s="213">
        <v>4553.8599999999997</v>
      </c>
      <c r="E55" s="213">
        <v>1</v>
      </c>
      <c r="F55" s="243">
        <f t="shared" si="20"/>
        <v>4553.8599999999997</v>
      </c>
      <c r="G55" s="324">
        <f t="shared" si="21"/>
        <v>0</v>
      </c>
      <c r="H55" s="325">
        <v>1</v>
      </c>
      <c r="I55" s="325">
        <f t="shared" si="22"/>
        <v>4553.8599999999997</v>
      </c>
      <c r="J55" s="326"/>
      <c r="K55" s="325">
        <v>0</v>
      </c>
      <c r="L55" s="327">
        <v>0</v>
      </c>
      <c r="M55" s="328"/>
      <c r="N55" s="328">
        <f t="shared" si="23"/>
        <v>0</v>
      </c>
      <c r="O55" s="328">
        <f t="shared" si="24"/>
        <v>0</v>
      </c>
      <c r="P55" s="327">
        <f t="shared" si="25"/>
        <v>0</v>
      </c>
      <c r="Q55" s="328">
        <f t="shared" si="26"/>
        <v>0</v>
      </c>
      <c r="R55" s="329">
        <f t="shared" si="27"/>
        <v>0</v>
      </c>
      <c r="S55" s="181">
        <f t="shared" si="7"/>
        <v>0</v>
      </c>
      <c r="T55" s="348">
        <v>0</v>
      </c>
    </row>
    <row r="56" spans="1:21" ht="15">
      <c r="A56" s="229"/>
      <c r="B56" s="228" t="s">
        <v>59</v>
      </c>
      <c r="C56" s="227"/>
      <c r="D56" s="242"/>
      <c r="E56" s="242"/>
      <c r="F56" s="225"/>
      <c r="G56" s="226"/>
      <c r="H56" s="225"/>
      <c r="I56" s="225"/>
      <c r="J56" s="224"/>
      <c r="K56" s="223"/>
      <c r="L56" s="221"/>
      <c r="M56" s="221"/>
      <c r="N56" s="221"/>
      <c r="O56" s="221"/>
      <c r="P56" s="222"/>
      <c r="Q56" s="221"/>
      <c r="R56" s="220"/>
      <c r="S56" s="181">
        <f t="shared" si="7"/>
        <v>0</v>
      </c>
      <c r="T56" s="348"/>
    </row>
    <row r="57" spans="1:21" ht="15">
      <c r="A57" s="313">
        <v>38</v>
      </c>
      <c r="B57" s="241" t="s">
        <v>17</v>
      </c>
      <c r="C57" s="234" t="s">
        <v>18</v>
      </c>
      <c r="D57" s="233">
        <v>47860.38</v>
      </c>
      <c r="E57" s="233">
        <v>1</v>
      </c>
      <c r="F57" s="240">
        <f t="shared" ref="F57:F68" si="29">D57*E57</f>
        <v>47860.38</v>
      </c>
      <c r="G57" s="314">
        <f t="shared" ref="G57:G68" si="30">+H57-E57</f>
        <v>0</v>
      </c>
      <c r="H57" s="315">
        <v>1</v>
      </c>
      <c r="I57" s="315">
        <f t="shared" ref="I57:I68" si="31">+H57*D57</f>
        <v>47860.38</v>
      </c>
      <c r="J57" s="330"/>
      <c r="K57" s="315">
        <v>1</v>
      </c>
      <c r="L57" s="318">
        <v>47860.38</v>
      </c>
      <c r="M57" s="317"/>
      <c r="N57" s="317">
        <f t="shared" ref="N57:N68" si="32">ROUND(M57*D57,2)</f>
        <v>0</v>
      </c>
      <c r="O57" s="317">
        <f t="shared" ref="O57:O68" si="33">M57+K57</f>
        <v>1</v>
      </c>
      <c r="P57" s="318">
        <f t="shared" ref="P57:P68" si="34">L57+N57</f>
        <v>47860.38</v>
      </c>
      <c r="Q57" s="317">
        <f t="shared" ref="Q57:Q68" si="35">IF(ISERROR(N57/I57),"",ROUND(N57/I57*100,2))</f>
        <v>0</v>
      </c>
      <c r="R57" s="319">
        <f t="shared" ref="R57:R68" si="36">IF(ISERROR(P57/I57),"",ROUND(P57/I57*100,2))</f>
        <v>100</v>
      </c>
      <c r="S57" s="181">
        <f t="shared" si="7"/>
        <v>0</v>
      </c>
      <c r="T57" s="348">
        <v>47860.38</v>
      </c>
    </row>
    <row r="58" spans="1:21" ht="15">
      <c r="A58" s="239">
        <f t="shared" ref="A58:A68" si="37">A57+1</f>
        <v>39</v>
      </c>
      <c r="B58" s="219" t="s">
        <v>32</v>
      </c>
      <c r="C58" s="218" t="s">
        <v>18</v>
      </c>
      <c r="D58" s="217">
        <v>3848.37</v>
      </c>
      <c r="E58" s="217">
        <v>1</v>
      </c>
      <c r="F58" s="216">
        <f t="shared" si="29"/>
        <v>3848.37</v>
      </c>
      <c r="G58" s="320">
        <f t="shared" si="30"/>
        <v>0</v>
      </c>
      <c r="H58" s="238">
        <v>1</v>
      </c>
      <c r="I58" s="238">
        <f t="shared" si="31"/>
        <v>3848.37</v>
      </c>
      <c r="J58" s="238"/>
      <c r="K58" s="238">
        <v>1</v>
      </c>
      <c r="L58" s="321">
        <v>3848.37</v>
      </c>
      <c r="M58" s="235"/>
      <c r="N58" s="235">
        <f t="shared" si="32"/>
        <v>0</v>
      </c>
      <c r="O58" s="235">
        <f t="shared" si="33"/>
        <v>1</v>
      </c>
      <c r="P58" s="321">
        <f t="shared" si="34"/>
        <v>3848.37</v>
      </c>
      <c r="Q58" s="235">
        <f t="shared" si="35"/>
        <v>0</v>
      </c>
      <c r="R58" s="322">
        <f t="shared" si="36"/>
        <v>100</v>
      </c>
      <c r="S58" s="181">
        <f t="shared" si="7"/>
        <v>0</v>
      </c>
      <c r="T58" s="348">
        <v>3848.37</v>
      </c>
    </row>
    <row r="59" spans="1:21" ht="15">
      <c r="A59" s="239">
        <f t="shared" si="37"/>
        <v>40</v>
      </c>
      <c r="B59" s="219" t="s">
        <v>33</v>
      </c>
      <c r="C59" s="218" t="s">
        <v>10</v>
      </c>
      <c r="D59" s="217">
        <v>27.03</v>
      </c>
      <c r="E59" s="217">
        <v>421.23</v>
      </c>
      <c r="F59" s="216">
        <f t="shared" si="29"/>
        <v>11385.85</v>
      </c>
      <c r="G59" s="320">
        <f t="shared" si="30"/>
        <v>0</v>
      </c>
      <c r="H59" s="238">
        <v>421.23</v>
      </c>
      <c r="I59" s="238">
        <f t="shared" si="31"/>
        <v>11385.85</v>
      </c>
      <c r="J59" s="238"/>
      <c r="K59" s="238">
        <v>0</v>
      </c>
      <c r="L59" s="321">
        <v>0</v>
      </c>
      <c r="M59" s="235"/>
      <c r="N59" s="235">
        <f t="shared" si="32"/>
        <v>0</v>
      </c>
      <c r="O59" s="235">
        <f t="shared" si="33"/>
        <v>0</v>
      </c>
      <c r="P59" s="321">
        <f t="shared" si="34"/>
        <v>0</v>
      </c>
      <c r="Q59" s="235">
        <f t="shared" si="35"/>
        <v>0</v>
      </c>
      <c r="R59" s="322">
        <f t="shared" si="36"/>
        <v>0</v>
      </c>
      <c r="S59" s="181">
        <f t="shared" si="7"/>
        <v>0</v>
      </c>
      <c r="T59" s="348">
        <v>0</v>
      </c>
    </row>
    <row r="60" spans="1:21" ht="15">
      <c r="A60" s="239">
        <f t="shared" si="37"/>
        <v>41</v>
      </c>
      <c r="B60" s="219" t="s">
        <v>60</v>
      </c>
      <c r="C60" s="218" t="s">
        <v>10</v>
      </c>
      <c r="D60" s="217">
        <v>651.46</v>
      </c>
      <c r="E60" s="217">
        <v>379.8</v>
      </c>
      <c r="F60" s="216">
        <f t="shared" si="29"/>
        <v>247424.51</v>
      </c>
      <c r="G60" s="320">
        <f t="shared" si="30"/>
        <v>0</v>
      </c>
      <c r="H60" s="238">
        <v>379.8</v>
      </c>
      <c r="I60" s="238">
        <f t="shared" si="31"/>
        <v>247424.51</v>
      </c>
      <c r="J60" s="238"/>
      <c r="K60" s="238">
        <v>0</v>
      </c>
      <c r="L60" s="321">
        <v>0</v>
      </c>
      <c r="M60" s="235"/>
      <c r="N60" s="235">
        <f t="shared" si="32"/>
        <v>0</v>
      </c>
      <c r="O60" s="235">
        <f t="shared" si="33"/>
        <v>0</v>
      </c>
      <c r="P60" s="321">
        <f t="shared" si="34"/>
        <v>0</v>
      </c>
      <c r="Q60" s="235">
        <f t="shared" si="35"/>
        <v>0</v>
      </c>
      <c r="R60" s="322">
        <f t="shared" si="36"/>
        <v>0</v>
      </c>
      <c r="S60" s="181">
        <f t="shared" si="7"/>
        <v>0</v>
      </c>
      <c r="T60" s="348">
        <v>0</v>
      </c>
    </row>
    <row r="61" spans="1:21" ht="15">
      <c r="A61" s="239">
        <f t="shared" si="37"/>
        <v>42</v>
      </c>
      <c r="B61" s="3" t="s">
        <v>35</v>
      </c>
      <c r="C61" s="10" t="s">
        <v>10</v>
      </c>
      <c r="D61" s="11">
        <v>1801.53</v>
      </c>
      <c r="E61" s="12">
        <v>95.41</v>
      </c>
      <c r="F61" s="216">
        <f t="shared" si="29"/>
        <v>171883.98</v>
      </c>
      <c r="G61" s="320">
        <f t="shared" si="30"/>
        <v>0</v>
      </c>
      <c r="H61" s="238">
        <v>95.41</v>
      </c>
      <c r="I61" s="238">
        <f t="shared" si="31"/>
        <v>171883.98</v>
      </c>
      <c r="J61" s="238"/>
      <c r="K61" s="238">
        <v>0</v>
      </c>
      <c r="L61" s="321">
        <v>0</v>
      </c>
      <c r="M61" s="235"/>
      <c r="N61" s="235">
        <f t="shared" si="32"/>
        <v>0</v>
      </c>
      <c r="O61" s="235">
        <f t="shared" si="33"/>
        <v>0</v>
      </c>
      <c r="P61" s="321">
        <f t="shared" si="34"/>
        <v>0</v>
      </c>
      <c r="Q61" s="235">
        <f t="shared" si="35"/>
        <v>0</v>
      </c>
      <c r="R61" s="322">
        <f t="shared" si="36"/>
        <v>0</v>
      </c>
      <c r="S61" s="181">
        <f t="shared" si="7"/>
        <v>0</v>
      </c>
      <c r="T61" s="348">
        <v>0</v>
      </c>
    </row>
    <row r="62" spans="1:21" ht="15">
      <c r="A62" s="239">
        <f t="shared" si="37"/>
        <v>43</v>
      </c>
      <c r="B62" s="219" t="s">
        <v>36</v>
      </c>
      <c r="C62" s="218" t="s">
        <v>46</v>
      </c>
      <c r="D62" s="217">
        <v>15.35</v>
      </c>
      <c r="E62" s="217">
        <v>7046.94</v>
      </c>
      <c r="F62" s="216">
        <f t="shared" si="29"/>
        <v>108170.53</v>
      </c>
      <c r="G62" s="320">
        <f t="shared" si="30"/>
        <v>0</v>
      </c>
      <c r="H62" s="238">
        <v>7046.94</v>
      </c>
      <c r="I62" s="238">
        <f t="shared" si="31"/>
        <v>108170.53</v>
      </c>
      <c r="J62" s="238"/>
      <c r="K62" s="238">
        <v>0</v>
      </c>
      <c r="L62" s="321">
        <v>0</v>
      </c>
      <c r="M62" s="235"/>
      <c r="N62" s="235">
        <f t="shared" si="32"/>
        <v>0</v>
      </c>
      <c r="O62" s="235">
        <f t="shared" si="33"/>
        <v>0</v>
      </c>
      <c r="P62" s="321">
        <f t="shared" si="34"/>
        <v>0</v>
      </c>
      <c r="Q62" s="235">
        <f t="shared" si="35"/>
        <v>0</v>
      </c>
      <c r="R62" s="322">
        <f t="shared" si="36"/>
        <v>0</v>
      </c>
      <c r="S62" s="181">
        <f t="shared" si="7"/>
        <v>0</v>
      </c>
      <c r="T62" s="348">
        <v>0</v>
      </c>
    </row>
    <row r="63" spans="1:21" ht="15">
      <c r="A63" s="239">
        <f t="shared" si="37"/>
        <v>44</v>
      </c>
      <c r="B63" s="219" t="s">
        <v>50</v>
      </c>
      <c r="C63" s="218" t="s">
        <v>47</v>
      </c>
      <c r="D63" s="217">
        <v>3139.57</v>
      </c>
      <c r="E63" s="217">
        <v>61.8</v>
      </c>
      <c r="F63" s="216">
        <f t="shared" si="29"/>
        <v>194025.43</v>
      </c>
      <c r="G63" s="320">
        <f t="shared" si="30"/>
        <v>0</v>
      </c>
      <c r="H63" s="238">
        <v>61.8</v>
      </c>
      <c r="I63" s="238">
        <f t="shared" si="31"/>
        <v>194025.43</v>
      </c>
      <c r="J63" s="238"/>
      <c r="K63" s="238">
        <v>0</v>
      </c>
      <c r="L63" s="321">
        <v>0</v>
      </c>
      <c r="M63" s="235"/>
      <c r="N63" s="235">
        <f t="shared" si="32"/>
        <v>0</v>
      </c>
      <c r="O63" s="235">
        <f t="shared" si="33"/>
        <v>0</v>
      </c>
      <c r="P63" s="321">
        <f t="shared" si="34"/>
        <v>0</v>
      </c>
      <c r="Q63" s="235">
        <f t="shared" si="35"/>
        <v>0</v>
      </c>
      <c r="R63" s="322">
        <f t="shared" si="36"/>
        <v>0</v>
      </c>
      <c r="S63" s="181">
        <f t="shared" si="7"/>
        <v>0</v>
      </c>
      <c r="T63" s="348">
        <v>0</v>
      </c>
    </row>
    <row r="64" spans="1:21" ht="15">
      <c r="A64" s="239">
        <f t="shared" si="37"/>
        <v>45</v>
      </c>
      <c r="B64" s="219" t="s">
        <v>51</v>
      </c>
      <c r="C64" s="218" t="s">
        <v>58</v>
      </c>
      <c r="D64" s="217">
        <v>403.4</v>
      </c>
      <c r="E64" s="217">
        <v>26.25</v>
      </c>
      <c r="F64" s="216">
        <f t="shared" si="29"/>
        <v>10589.25</v>
      </c>
      <c r="G64" s="320">
        <f t="shared" si="30"/>
        <v>0</v>
      </c>
      <c r="H64" s="238">
        <v>26.25</v>
      </c>
      <c r="I64" s="238">
        <f t="shared" si="31"/>
        <v>10589.25</v>
      </c>
      <c r="J64" s="238"/>
      <c r="K64" s="238">
        <v>0</v>
      </c>
      <c r="L64" s="321">
        <v>0</v>
      </c>
      <c r="M64" s="235"/>
      <c r="N64" s="235">
        <f t="shared" si="32"/>
        <v>0</v>
      </c>
      <c r="O64" s="235">
        <f t="shared" si="33"/>
        <v>0</v>
      </c>
      <c r="P64" s="321">
        <f t="shared" si="34"/>
        <v>0</v>
      </c>
      <c r="Q64" s="235">
        <f t="shared" si="35"/>
        <v>0</v>
      </c>
      <c r="R64" s="322">
        <f t="shared" si="36"/>
        <v>0</v>
      </c>
      <c r="S64" s="181">
        <f t="shared" si="7"/>
        <v>0</v>
      </c>
      <c r="T64" s="348">
        <v>0</v>
      </c>
    </row>
    <row r="65" spans="1:20" ht="15">
      <c r="A65" s="239">
        <f t="shared" si="37"/>
        <v>46</v>
      </c>
      <c r="B65" s="219" t="s">
        <v>52</v>
      </c>
      <c r="C65" s="218" t="s">
        <v>18</v>
      </c>
      <c r="D65" s="217">
        <v>45986.77</v>
      </c>
      <c r="E65" s="217">
        <v>1</v>
      </c>
      <c r="F65" s="216">
        <f t="shared" si="29"/>
        <v>45986.77</v>
      </c>
      <c r="G65" s="320">
        <f t="shared" si="30"/>
        <v>0</v>
      </c>
      <c r="H65" s="238">
        <v>1</v>
      </c>
      <c r="I65" s="238">
        <f t="shared" si="31"/>
        <v>45986.77</v>
      </c>
      <c r="J65" s="238"/>
      <c r="K65" s="238">
        <v>0</v>
      </c>
      <c r="L65" s="321">
        <v>0</v>
      </c>
      <c r="M65" s="235"/>
      <c r="N65" s="235">
        <f t="shared" si="32"/>
        <v>0</v>
      </c>
      <c r="O65" s="235">
        <f t="shared" si="33"/>
        <v>0</v>
      </c>
      <c r="P65" s="321">
        <f t="shared" si="34"/>
        <v>0</v>
      </c>
      <c r="Q65" s="235">
        <f t="shared" si="35"/>
        <v>0</v>
      </c>
      <c r="R65" s="322">
        <f t="shared" si="36"/>
        <v>0</v>
      </c>
      <c r="S65" s="181">
        <f t="shared" si="7"/>
        <v>0</v>
      </c>
      <c r="T65" s="348">
        <v>0</v>
      </c>
    </row>
    <row r="66" spans="1:20" ht="15">
      <c r="A66" s="239">
        <f t="shared" si="37"/>
        <v>47</v>
      </c>
      <c r="B66" s="219" t="s">
        <v>53</v>
      </c>
      <c r="C66" s="218" t="s">
        <v>47</v>
      </c>
      <c r="D66" s="217">
        <v>825.66</v>
      </c>
      <c r="E66" s="217">
        <v>14.6</v>
      </c>
      <c r="F66" s="216">
        <f t="shared" si="29"/>
        <v>12054.64</v>
      </c>
      <c r="G66" s="320">
        <f t="shared" si="30"/>
        <v>0</v>
      </c>
      <c r="H66" s="238">
        <v>14.6</v>
      </c>
      <c r="I66" s="238">
        <f t="shared" si="31"/>
        <v>12054.64</v>
      </c>
      <c r="J66" s="238"/>
      <c r="K66" s="238">
        <v>0</v>
      </c>
      <c r="L66" s="321">
        <v>0</v>
      </c>
      <c r="M66" s="235"/>
      <c r="N66" s="235">
        <f t="shared" si="32"/>
        <v>0</v>
      </c>
      <c r="O66" s="235">
        <f t="shared" si="33"/>
        <v>0</v>
      </c>
      <c r="P66" s="321">
        <f t="shared" si="34"/>
        <v>0</v>
      </c>
      <c r="Q66" s="235">
        <f t="shared" si="35"/>
        <v>0</v>
      </c>
      <c r="R66" s="322">
        <f t="shared" si="36"/>
        <v>0</v>
      </c>
      <c r="S66" s="181">
        <f t="shared" si="7"/>
        <v>0</v>
      </c>
      <c r="T66" s="348">
        <v>0</v>
      </c>
    </row>
    <row r="67" spans="1:20" ht="15">
      <c r="A67" s="239">
        <f t="shared" si="37"/>
        <v>48</v>
      </c>
      <c r="B67" s="219" t="s">
        <v>54</v>
      </c>
      <c r="C67" s="218" t="s">
        <v>47</v>
      </c>
      <c r="D67" s="217">
        <v>83.48</v>
      </c>
      <c r="E67" s="217">
        <v>38.799999999999997</v>
      </c>
      <c r="F67" s="216">
        <f t="shared" si="29"/>
        <v>3239.02</v>
      </c>
      <c r="G67" s="320">
        <f t="shared" si="30"/>
        <v>0</v>
      </c>
      <c r="H67" s="238">
        <v>38.799999999999997</v>
      </c>
      <c r="I67" s="238">
        <f t="shared" si="31"/>
        <v>3239.02</v>
      </c>
      <c r="J67" s="238"/>
      <c r="K67" s="238">
        <v>0</v>
      </c>
      <c r="L67" s="321">
        <v>0</v>
      </c>
      <c r="M67" s="235"/>
      <c r="N67" s="235">
        <f t="shared" si="32"/>
        <v>0</v>
      </c>
      <c r="O67" s="235">
        <f t="shared" si="33"/>
        <v>0</v>
      </c>
      <c r="P67" s="321">
        <f t="shared" si="34"/>
        <v>0</v>
      </c>
      <c r="Q67" s="235">
        <f t="shared" si="35"/>
        <v>0</v>
      </c>
      <c r="R67" s="322">
        <f t="shared" si="36"/>
        <v>0</v>
      </c>
      <c r="S67" s="181">
        <f t="shared" si="7"/>
        <v>0</v>
      </c>
      <c r="T67" s="348">
        <v>0</v>
      </c>
    </row>
    <row r="68" spans="1:20" ht="15">
      <c r="A68" s="323">
        <f t="shared" si="37"/>
        <v>49</v>
      </c>
      <c r="B68" s="215" t="s">
        <v>57</v>
      </c>
      <c r="C68" s="214" t="s">
        <v>18</v>
      </c>
      <c r="D68" s="213">
        <v>4553.8599999999997</v>
      </c>
      <c r="E68" s="213">
        <v>1</v>
      </c>
      <c r="F68" s="212">
        <f t="shared" si="29"/>
        <v>4553.8599999999997</v>
      </c>
      <c r="G68" s="324">
        <f t="shared" si="30"/>
        <v>0</v>
      </c>
      <c r="H68" s="325">
        <v>1</v>
      </c>
      <c r="I68" s="325">
        <f t="shared" si="31"/>
        <v>4553.8599999999997</v>
      </c>
      <c r="J68" s="326"/>
      <c r="K68" s="331">
        <v>0</v>
      </c>
      <c r="L68" s="321">
        <v>0</v>
      </c>
      <c r="M68" s="328"/>
      <c r="N68" s="328">
        <f t="shared" si="32"/>
        <v>0</v>
      </c>
      <c r="O68" s="328">
        <f t="shared" si="33"/>
        <v>0</v>
      </c>
      <c r="P68" s="327">
        <f t="shared" si="34"/>
        <v>0</v>
      </c>
      <c r="Q68" s="328">
        <f t="shared" si="35"/>
        <v>0</v>
      </c>
      <c r="R68" s="329">
        <f t="shared" si="36"/>
        <v>0</v>
      </c>
      <c r="S68" s="181">
        <f t="shared" si="7"/>
        <v>0</v>
      </c>
      <c r="T68" s="348">
        <v>0</v>
      </c>
    </row>
    <row r="69" spans="1:20" ht="15">
      <c r="A69" s="229"/>
      <c r="B69" s="228" t="s">
        <v>61</v>
      </c>
      <c r="C69" s="227"/>
      <c r="D69" s="226"/>
      <c r="E69" s="226"/>
      <c r="F69" s="225"/>
      <c r="G69" s="226"/>
      <c r="H69" s="225"/>
      <c r="I69" s="225"/>
      <c r="J69" s="224"/>
      <c r="K69" s="223"/>
      <c r="L69" s="221"/>
      <c r="M69" s="221"/>
      <c r="N69" s="221"/>
      <c r="O69" s="221"/>
      <c r="P69" s="222"/>
      <c r="Q69" s="221"/>
      <c r="R69" s="220"/>
      <c r="S69" s="181">
        <f t="shared" si="7"/>
        <v>0</v>
      </c>
      <c r="T69" s="348"/>
    </row>
    <row r="70" spans="1:20" ht="15">
      <c r="A70" s="313">
        <v>50</v>
      </c>
      <c r="B70" s="7" t="s">
        <v>62</v>
      </c>
      <c r="C70" s="234" t="s">
        <v>67</v>
      </c>
      <c r="D70" s="233">
        <v>1145.2</v>
      </c>
      <c r="E70" s="233">
        <v>15</v>
      </c>
      <c r="F70" s="232">
        <f>D70*E70</f>
        <v>17178</v>
      </c>
      <c r="G70" s="314">
        <f>+H70-E70</f>
        <v>0</v>
      </c>
      <c r="H70" s="315">
        <v>15</v>
      </c>
      <c r="I70" s="315">
        <f>+H70*D70</f>
        <v>17178</v>
      </c>
      <c r="J70" s="330"/>
      <c r="K70" s="332">
        <v>0</v>
      </c>
      <c r="L70" s="318">
        <v>0</v>
      </c>
      <c r="M70" s="317"/>
      <c r="N70" s="317">
        <f t="shared" ref="N70:N74" si="38">ROUND(M70*D70,2)</f>
        <v>0</v>
      </c>
      <c r="O70" s="317">
        <f t="shared" ref="O70:O74" si="39">M70+K70</f>
        <v>0</v>
      </c>
      <c r="P70" s="318">
        <f t="shared" ref="P70:P74" si="40">L70+N70</f>
        <v>0</v>
      </c>
      <c r="Q70" s="317">
        <f>IF(ISERROR(N70/I70),"",ROUND(N70/I70*100,2))</f>
        <v>0</v>
      </c>
      <c r="R70" s="319">
        <f>IF(ISERROR(P70/I70),"",ROUND(P70/I70*100,2))</f>
        <v>0</v>
      </c>
      <c r="S70" s="181">
        <f t="shared" si="7"/>
        <v>0</v>
      </c>
      <c r="T70" s="348">
        <v>0</v>
      </c>
    </row>
    <row r="71" spans="1:20" ht="15">
      <c r="A71" s="239">
        <f>1+A70</f>
        <v>51</v>
      </c>
      <c r="B71" s="8" t="s">
        <v>63</v>
      </c>
      <c r="C71" s="218" t="s">
        <v>67</v>
      </c>
      <c r="D71" s="217">
        <v>977.64</v>
      </c>
      <c r="E71" s="217">
        <v>33</v>
      </c>
      <c r="F71" s="231">
        <f>D71*E71</f>
        <v>32262.12</v>
      </c>
      <c r="G71" s="320">
        <f>+H71-E71</f>
        <v>0</v>
      </c>
      <c r="H71" s="238">
        <v>33</v>
      </c>
      <c r="I71" s="238">
        <f>+H71*D71</f>
        <v>32262.12</v>
      </c>
      <c r="J71" s="237"/>
      <c r="K71" s="236">
        <v>0</v>
      </c>
      <c r="L71" s="321">
        <v>0</v>
      </c>
      <c r="M71" s="235"/>
      <c r="N71" s="235">
        <f t="shared" si="38"/>
        <v>0</v>
      </c>
      <c r="O71" s="235">
        <f t="shared" si="39"/>
        <v>0</v>
      </c>
      <c r="P71" s="321">
        <f t="shared" si="40"/>
        <v>0</v>
      </c>
      <c r="Q71" s="235">
        <f>IF(ISERROR(N71/I71),"",ROUND(N71/I71*100,2))</f>
        <v>0</v>
      </c>
      <c r="R71" s="322">
        <f>IF(ISERROR(P71/I71),"",ROUND(P71/I71*100,2))</f>
        <v>0</v>
      </c>
      <c r="S71" s="181">
        <f t="shared" si="7"/>
        <v>0</v>
      </c>
      <c r="T71" s="348">
        <v>0</v>
      </c>
    </row>
    <row r="72" spans="1:20" ht="15">
      <c r="A72" s="239">
        <f>1+A71</f>
        <v>52</v>
      </c>
      <c r="B72" s="8" t="s">
        <v>64</v>
      </c>
      <c r="C72" s="218" t="s">
        <v>67</v>
      </c>
      <c r="D72" s="217">
        <v>1497.96</v>
      </c>
      <c r="E72" s="217">
        <v>1</v>
      </c>
      <c r="F72" s="231">
        <f>D72*E72</f>
        <v>1497.96</v>
      </c>
      <c r="G72" s="320">
        <f>+H72-E72</f>
        <v>0</v>
      </c>
      <c r="H72" s="238">
        <v>1</v>
      </c>
      <c r="I72" s="238">
        <f>+H72*D72</f>
        <v>1497.96</v>
      </c>
      <c r="J72" s="237"/>
      <c r="K72" s="236">
        <v>0</v>
      </c>
      <c r="L72" s="321">
        <v>0</v>
      </c>
      <c r="M72" s="235"/>
      <c r="N72" s="235">
        <f t="shared" si="38"/>
        <v>0</v>
      </c>
      <c r="O72" s="235">
        <f t="shared" si="39"/>
        <v>0</v>
      </c>
      <c r="P72" s="321">
        <f t="shared" si="40"/>
        <v>0</v>
      </c>
      <c r="Q72" s="235">
        <f>IF(ISERROR(N72/I72),"",ROUND(N72/I72*100,2))</f>
        <v>0</v>
      </c>
      <c r="R72" s="322">
        <f>IF(ISERROR(P72/I72),"",ROUND(P72/I72*100,2))</f>
        <v>0</v>
      </c>
      <c r="S72" s="181">
        <f t="shared" si="7"/>
        <v>0</v>
      </c>
      <c r="T72" s="348">
        <v>0</v>
      </c>
    </row>
    <row r="73" spans="1:20" ht="15">
      <c r="A73" s="239">
        <f>1+A72</f>
        <v>53</v>
      </c>
      <c r="B73" s="8" t="s">
        <v>65</v>
      </c>
      <c r="C73" s="218" t="s">
        <v>67</v>
      </c>
      <c r="D73" s="217">
        <v>276.64</v>
      </c>
      <c r="E73" s="217">
        <v>26</v>
      </c>
      <c r="F73" s="231">
        <f>D73*E73</f>
        <v>7192.64</v>
      </c>
      <c r="G73" s="320">
        <f>+H73-E73</f>
        <v>0</v>
      </c>
      <c r="H73" s="238">
        <v>26</v>
      </c>
      <c r="I73" s="238">
        <f>+H73*D73</f>
        <v>7192.64</v>
      </c>
      <c r="J73" s="237"/>
      <c r="K73" s="236">
        <v>0</v>
      </c>
      <c r="L73" s="321">
        <v>0</v>
      </c>
      <c r="M73" s="235"/>
      <c r="N73" s="235">
        <f t="shared" si="38"/>
        <v>0</v>
      </c>
      <c r="O73" s="235">
        <f t="shared" si="39"/>
        <v>0</v>
      </c>
      <c r="P73" s="321">
        <f t="shared" si="40"/>
        <v>0</v>
      </c>
      <c r="Q73" s="235">
        <f>IF(ISERROR(N73/I73),"",ROUND(N73/I73*100,2))</f>
        <v>0</v>
      </c>
      <c r="R73" s="322">
        <f>IF(ISERROR(P73/I73),"",ROUND(P73/I73*100,2))</f>
        <v>0</v>
      </c>
      <c r="S73" s="181">
        <f t="shared" si="7"/>
        <v>0</v>
      </c>
      <c r="T73" s="348">
        <v>0</v>
      </c>
    </row>
    <row r="74" spans="1:20" ht="15">
      <c r="A74" s="323">
        <f>1+A73</f>
        <v>54</v>
      </c>
      <c r="B74" s="9" t="s">
        <v>66</v>
      </c>
      <c r="C74" s="214" t="s">
        <v>67</v>
      </c>
      <c r="D74" s="213">
        <v>235.45</v>
      </c>
      <c r="E74" s="213">
        <v>98</v>
      </c>
      <c r="F74" s="230">
        <f>D74*E74</f>
        <v>23074.1</v>
      </c>
      <c r="G74" s="324">
        <f>+H74-E74</f>
        <v>0</v>
      </c>
      <c r="H74" s="325">
        <v>98</v>
      </c>
      <c r="I74" s="325">
        <f>+H74*D74</f>
        <v>23074.1</v>
      </c>
      <c r="J74" s="326"/>
      <c r="K74" s="331">
        <v>0</v>
      </c>
      <c r="L74" s="327">
        <v>0</v>
      </c>
      <c r="M74" s="328"/>
      <c r="N74" s="328">
        <f t="shared" si="38"/>
        <v>0</v>
      </c>
      <c r="O74" s="328">
        <f t="shared" si="39"/>
        <v>0</v>
      </c>
      <c r="P74" s="327">
        <f t="shared" si="40"/>
        <v>0</v>
      </c>
      <c r="Q74" s="328">
        <f>IF(ISERROR(N74/I74),"",ROUND(N74/I74*100,2))</f>
        <v>0</v>
      </c>
      <c r="R74" s="329">
        <f>IF(ISERROR(P74/I74),"",ROUND(P74/I74*100,2))</f>
        <v>0</v>
      </c>
      <c r="S74" s="181">
        <f t="shared" si="7"/>
        <v>0</v>
      </c>
      <c r="T74" s="348">
        <v>0</v>
      </c>
    </row>
    <row r="75" spans="1:20" ht="15">
      <c r="A75" s="229"/>
      <c r="B75" s="228" t="s">
        <v>68</v>
      </c>
      <c r="C75" s="227"/>
      <c r="D75" s="226"/>
      <c r="E75" s="226"/>
      <c r="F75" s="225"/>
      <c r="G75" s="226"/>
      <c r="H75" s="225"/>
      <c r="I75" s="225"/>
      <c r="J75" s="224"/>
      <c r="K75" s="223"/>
      <c r="L75" s="221"/>
      <c r="M75" s="221"/>
      <c r="N75" s="221"/>
      <c r="O75" s="221"/>
      <c r="P75" s="222"/>
      <c r="Q75" s="221"/>
      <c r="R75" s="220"/>
      <c r="S75" s="181">
        <f t="shared" si="7"/>
        <v>0</v>
      </c>
      <c r="T75" s="348"/>
    </row>
    <row r="76" spans="1:20" ht="15">
      <c r="A76" s="313">
        <v>65</v>
      </c>
      <c r="B76" s="241" t="s">
        <v>69</v>
      </c>
      <c r="C76" s="234" t="s">
        <v>75</v>
      </c>
      <c r="D76" s="233">
        <v>412.06</v>
      </c>
      <c r="E76" s="233">
        <v>10</v>
      </c>
      <c r="F76" s="240">
        <f t="shared" ref="F76:F81" si="41">D76*E76</f>
        <v>4120.6000000000004</v>
      </c>
      <c r="G76" s="314">
        <f t="shared" ref="G76:G81" si="42">+H76-E76</f>
        <v>0</v>
      </c>
      <c r="H76" s="315">
        <v>10</v>
      </c>
      <c r="I76" s="315">
        <f t="shared" ref="I76:I81" si="43">+H76*D76</f>
        <v>4120.6000000000004</v>
      </c>
      <c r="J76" s="330"/>
      <c r="K76" s="332">
        <v>0</v>
      </c>
      <c r="L76" s="317">
        <v>0</v>
      </c>
      <c r="M76" s="317"/>
      <c r="N76" s="317">
        <f t="shared" ref="N76:N81" si="44">ROUND(M76*D76,2)</f>
        <v>0</v>
      </c>
      <c r="O76" s="317">
        <f t="shared" ref="O76:O81" si="45">M76+K76</f>
        <v>0</v>
      </c>
      <c r="P76" s="318">
        <f t="shared" ref="P76:P81" si="46">L76+N76</f>
        <v>0</v>
      </c>
      <c r="Q76" s="317">
        <f t="shared" ref="Q76:Q81" si="47">IF(ISERROR(N76/I76),"",ROUND(N76/I76*100,2))</f>
        <v>0</v>
      </c>
      <c r="R76" s="319">
        <f t="shared" ref="R76:R81" si="48">IF(ISERROR(P76/I76),"",ROUND(P76/I76*100,2))</f>
        <v>0</v>
      </c>
      <c r="S76" s="181">
        <f t="shared" si="7"/>
        <v>0</v>
      </c>
      <c r="T76" s="348">
        <v>0</v>
      </c>
    </row>
    <row r="77" spans="1:20" ht="15">
      <c r="A77" s="239">
        <v>69</v>
      </c>
      <c r="B77" s="219" t="s">
        <v>70</v>
      </c>
      <c r="C77" s="218" t="s">
        <v>10</v>
      </c>
      <c r="D77" s="217">
        <v>337.66</v>
      </c>
      <c r="E77" s="217">
        <v>460.72</v>
      </c>
      <c r="F77" s="216">
        <f t="shared" si="41"/>
        <v>155566.72</v>
      </c>
      <c r="G77" s="320">
        <f t="shared" si="42"/>
        <v>189.38</v>
      </c>
      <c r="H77" s="238">
        <v>650.1</v>
      </c>
      <c r="I77" s="238">
        <f t="shared" si="43"/>
        <v>219512.77</v>
      </c>
      <c r="J77" s="237"/>
      <c r="K77" s="238">
        <v>460.72</v>
      </c>
      <c r="L77" s="321">
        <v>155566.72</v>
      </c>
      <c r="M77" s="235"/>
      <c r="N77" s="235">
        <f t="shared" si="44"/>
        <v>0</v>
      </c>
      <c r="O77" s="235">
        <f t="shared" si="45"/>
        <v>460.72</v>
      </c>
      <c r="P77" s="321">
        <f t="shared" si="46"/>
        <v>155566.72</v>
      </c>
      <c r="Q77" s="235">
        <f t="shared" si="47"/>
        <v>0</v>
      </c>
      <c r="R77" s="322">
        <f t="shared" si="48"/>
        <v>70.87</v>
      </c>
      <c r="S77" s="181">
        <f t="shared" si="7"/>
        <v>0</v>
      </c>
      <c r="T77" s="348">
        <v>155566.72</v>
      </c>
    </row>
    <row r="78" spans="1:20" ht="15">
      <c r="A78" s="239">
        <f>1+A77</f>
        <v>70</v>
      </c>
      <c r="B78" s="219" t="s">
        <v>71</v>
      </c>
      <c r="C78" s="218" t="s">
        <v>18</v>
      </c>
      <c r="D78" s="217">
        <v>11160.89</v>
      </c>
      <c r="E78" s="217">
        <v>0.2</v>
      </c>
      <c r="F78" s="216">
        <f t="shared" si="41"/>
        <v>2232.1799999999998</v>
      </c>
      <c r="G78" s="320">
        <f t="shared" si="42"/>
        <v>0</v>
      </c>
      <c r="H78" s="238">
        <v>0.2</v>
      </c>
      <c r="I78" s="238">
        <f t="shared" si="43"/>
        <v>2232.1799999999998</v>
      </c>
      <c r="J78" s="237"/>
      <c r="K78" s="236">
        <v>0</v>
      </c>
      <c r="L78" s="235">
        <v>0</v>
      </c>
      <c r="M78" s="235"/>
      <c r="N78" s="235">
        <f t="shared" si="44"/>
        <v>0</v>
      </c>
      <c r="O78" s="235">
        <f t="shared" si="45"/>
        <v>0</v>
      </c>
      <c r="P78" s="321">
        <f t="shared" si="46"/>
        <v>0</v>
      </c>
      <c r="Q78" s="235">
        <f t="shared" si="47"/>
        <v>0</v>
      </c>
      <c r="R78" s="322">
        <f t="shared" si="48"/>
        <v>0</v>
      </c>
      <c r="S78" s="181">
        <f t="shared" si="7"/>
        <v>0</v>
      </c>
      <c r="T78" s="348">
        <v>0</v>
      </c>
    </row>
    <row r="79" spans="1:20" ht="15">
      <c r="A79" s="239">
        <f>1+A78</f>
        <v>71</v>
      </c>
      <c r="B79" s="219" t="s">
        <v>72</v>
      </c>
      <c r="C79" s="218" t="s">
        <v>25</v>
      </c>
      <c r="D79" s="217">
        <v>3424.36</v>
      </c>
      <c r="E79" s="217">
        <v>5.57</v>
      </c>
      <c r="F79" s="216">
        <f t="shared" si="41"/>
        <v>19073.689999999999</v>
      </c>
      <c r="G79" s="320">
        <f t="shared" si="42"/>
        <v>0</v>
      </c>
      <c r="H79" s="238">
        <v>5.57</v>
      </c>
      <c r="I79" s="238">
        <f t="shared" si="43"/>
        <v>19073.689999999999</v>
      </c>
      <c r="J79" s="237"/>
      <c r="K79" s="236">
        <v>0</v>
      </c>
      <c r="L79" s="235">
        <v>0</v>
      </c>
      <c r="M79" s="235"/>
      <c r="N79" s="235">
        <f t="shared" si="44"/>
        <v>0</v>
      </c>
      <c r="O79" s="235">
        <f t="shared" si="45"/>
        <v>0</v>
      </c>
      <c r="P79" s="321">
        <f t="shared" si="46"/>
        <v>0</v>
      </c>
      <c r="Q79" s="235">
        <f t="shared" si="47"/>
        <v>0</v>
      </c>
      <c r="R79" s="322">
        <f t="shared" si="48"/>
        <v>0</v>
      </c>
      <c r="S79" s="181">
        <f t="shared" si="7"/>
        <v>0</v>
      </c>
      <c r="T79" s="348">
        <v>0</v>
      </c>
    </row>
    <row r="80" spans="1:20" ht="15">
      <c r="A80" s="239">
        <f>1+A79</f>
        <v>72</v>
      </c>
      <c r="B80" s="219" t="s">
        <v>73</v>
      </c>
      <c r="C80" s="218" t="s">
        <v>25</v>
      </c>
      <c r="D80" s="217">
        <v>5452.74</v>
      </c>
      <c r="E80" s="217">
        <v>4.78</v>
      </c>
      <c r="F80" s="216">
        <f t="shared" si="41"/>
        <v>26064.1</v>
      </c>
      <c r="G80" s="320">
        <f t="shared" si="42"/>
        <v>0</v>
      </c>
      <c r="H80" s="238">
        <v>4.78</v>
      </c>
      <c r="I80" s="238">
        <f t="shared" si="43"/>
        <v>26064.1</v>
      </c>
      <c r="J80" s="237"/>
      <c r="K80" s="236">
        <v>0</v>
      </c>
      <c r="L80" s="235">
        <v>0</v>
      </c>
      <c r="M80" s="235"/>
      <c r="N80" s="235">
        <f t="shared" si="44"/>
        <v>0</v>
      </c>
      <c r="O80" s="235">
        <f t="shared" si="45"/>
        <v>0</v>
      </c>
      <c r="P80" s="321">
        <f t="shared" si="46"/>
        <v>0</v>
      </c>
      <c r="Q80" s="235">
        <f t="shared" si="47"/>
        <v>0</v>
      </c>
      <c r="R80" s="322">
        <f t="shared" si="48"/>
        <v>0</v>
      </c>
      <c r="S80" s="181">
        <f t="shared" si="7"/>
        <v>0</v>
      </c>
      <c r="T80" s="348">
        <v>0</v>
      </c>
    </row>
    <row r="81" spans="1:21" ht="15">
      <c r="A81" s="323">
        <v>74</v>
      </c>
      <c r="B81" s="215" t="s">
        <v>74</v>
      </c>
      <c r="C81" s="214" t="s">
        <v>18</v>
      </c>
      <c r="D81" s="213">
        <v>6376.18</v>
      </c>
      <c r="E81" s="213">
        <v>0.4</v>
      </c>
      <c r="F81" s="212">
        <f t="shared" si="41"/>
        <v>2550.4699999999998</v>
      </c>
      <c r="G81" s="324">
        <f t="shared" si="42"/>
        <v>0</v>
      </c>
      <c r="H81" s="325">
        <v>0.4</v>
      </c>
      <c r="I81" s="325">
        <f t="shared" si="43"/>
        <v>2550.4699999999998</v>
      </c>
      <c r="J81" s="326"/>
      <c r="K81" s="328">
        <v>0</v>
      </c>
      <c r="L81" s="328">
        <v>0</v>
      </c>
      <c r="M81" s="328"/>
      <c r="N81" s="328">
        <f t="shared" si="44"/>
        <v>0</v>
      </c>
      <c r="O81" s="328">
        <f t="shared" si="45"/>
        <v>0</v>
      </c>
      <c r="P81" s="327">
        <f t="shared" si="46"/>
        <v>0</v>
      </c>
      <c r="Q81" s="328">
        <f t="shared" si="47"/>
        <v>0</v>
      </c>
      <c r="R81" s="329">
        <f t="shared" si="48"/>
        <v>0</v>
      </c>
      <c r="S81" s="181">
        <f t="shared" ref="S81" si="49">P81-T81</f>
        <v>0</v>
      </c>
      <c r="T81" s="348">
        <v>0</v>
      </c>
    </row>
    <row r="82" spans="1:21" ht="15">
      <c r="A82" s="333"/>
      <c r="B82" s="259"/>
      <c r="C82" s="227"/>
      <c r="D82" s="226"/>
      <c r="E82" s="334"/>
      <c r="F82" s="225"/>
      <c r="G82" s="226"/>
      <c r="H82" s="225"/>
      <c r="I82" s="225"/>
      <c r="J82" s="226"/>
      <c r="K82" s="221"/>
      <c r="L82" s="221"/>
      <c r="M82" s="221"/>
      <c r="N82" s="221"/>
      <c r="O82" s="221"/>
      <c r="P82" s="222"/>
      <c r="Q82" s="221" t="str">
        <f t="shared" ref="Q82" si="50">IF(ISERROR(N82/I82),"",ROUND(N82/I82*100,2))</f>
        <v/>
      </c>
      <c r="R82" s="335" t="str">
        <f t="shared" ref="R82" si="51">IF(ISERROR(P82/I82),"",ROUND(P82/I82*100,2))</f>
        <v/>
      </c>
      <c r="T82" s="349"/>
    </row>
    <row r="83" spans="1:21">
      <c r="A83" s="771" t="s">
        <v>16</v>
      </c>
      <c r="B83" s="772"/>
      <c r="C83" s="772"/>
      <c r="D83" s="772"/>
      <c r="E83" s="204"/>
      <c r="F83" s="211">
        <f>SUM(F16:F81)</f>
        <v>16903840.539999999</v>
      </c>
      <c r="G83" s="204"/>
      <c r="H83" s="210"/>
      <c r="I83" s="209">
        <f>SUM(I16:I81)</f>
        <v>16903840.539999999</v>
      </c>
      <c r="J83" s="204"/>
      <c r="K83" s="204"/>
      <c r="L83" s="204">
        <f>ROUND(SUM(L16:L82),2)</f>
        <v>2171676.62</v>
      </c>
      <c r="M83" s="204"/>
      <c r="N83" s="204">
        <f>SUM(N16:N82)</f>
        <v>1404557.81</v>
      </c>
      <c r="O83" s="204" t="str">
        <f>IF(M83+K83=0,"",M83+K83)</f>
        <v/>
      </c>
      <c r="P83" s="204">
        <f>ROUND(SUM(P16:P82),2)</f>
        <v>3576234.43</v>
      </c>
      <c r="Q83" s="208">
        <f>+N83/I83*100</f>
        <v>8.31</v>
      </c>
      <c r="R83" s="208"/>
      <c r="S83" s="207"/>
      <c r="T83" s="206">
        <v>3576234.45</v>
      </c>
      <c r="U83" s="205"/>
    </row>
    <row r="84" spans="1:21">
      <c r="A84" s="184"/>
      <c r="B84" s="184"/>
      <c r="C84" s="184"/>
      <c r="D84" s="184"/>
      <c r="E84" s="184"/>
      <c r="F84" s="203"/>
      <c r="G84" s="184"/>
      <c r="H84" s="184"/>
      <c r="I84" s="190"/>
      <c r="J84" s="346"/>
      <c r="K84" s="193"/>
      <c r="L84" s="192"/>
      <c r="M84" s="193"/>
      <c r="N84" s="196"/>
      <c r="O84" s="193"/>
      <c r="P84" s="192"/>
      <c r="Q84" s="184"/>
      <c r="R84" s="202"/>
    </row>
    <row r="85" spans="1:21">
      <c r="A85" s="184"/>
      <c r="B85" s="184"/>
      <c r="C85" s="184"/>
      <c r="D85" s="184"/>
      <c r="E85" s="184"/>
      <c r="F85" s="184"/>
      <c r="G85" s="184"/>
      <c r="H85" s="184"/>
      <c r="I85" s="190"/>
      <c r="J85" s="346"/>
      <c r="K85" s="193"/>
      <c r="L85" s="192"/>
      <c r="M85" s="193"/>
      <c r="N85" s="196"/>
      <c r="O85" s="193"/>
      <c r="P85" s="192"/>
      <c r="Q85" s="201"/>
      <c r="R85" s="184"/>
    </row>
    <row r="86" spans="1:21">
      <c r="A86" s="184"/>
      <c r="B86" s="184"/>
      <c r="C86" s="184"/>
      <c r="D86" s="184"/>
      <c r="E86" s="184"/>
      <c r="F86" s="200"/>
      <c r="G86" s="184"/>
      <c r="H86" s="184"/>
      <c r="I86" s="184"/>
      <c r="J86" s="346"/>
      <c r="K86" s="193"/>
      <c r="L86" s="192"/>
      <c r="M86" s="193"/>
      <c r="N86" s="199"/>
      <c r="O86" s="198"/>
      <c r="P86" s="197"/>
      <c r="Q86" s="184"/>
      <c r="R86" s="184"/>
    </row>
    <row r="87" spans="1:21">
      <c r="A87" s="184"/>
      <c r="B87" s="184"/>
      <c r="C87" s="184"/>
      <c r="D87" s="184"/>
      <c r="E87" s="184"/>
      <c r="F87" s="185"/>
      <c r="G87" s="184"/>
      <c r="H87" s="184"/>
      <c r="I87" s="184"/>
      <c r="J87" s="346"/>
      <c r="K87" s="193"/>
      <c r="L87" s="192"/>
      <c r="M87" s="193"/>
      <c r="N87" s="196"/>
      <c r="O87" s="193"/>
      <c r="P87" s="192"/>
      <c r="Q87" s="184"/>
      <c r="R87" s="184"/>
    </row>
    <row r="88" spans="1:21">
      <c r="A88" s="184"/>
      <c r="B88" s="184"/>
      <c r="C88" s="184"/>
      <c r="D88" s="184"/>
      <c r="E88" s="184"/>
      <c r="F88" s="184"/>
      <c r="G88" s="190"/>
      <c r="H88" s="184"/>
      <c r="I88" s="184"/>
      <c r="J88" s="346"/>
      <c r="K88" s="193"/>
      <c r="L88" s="195"/>
      <c r="M88" s="193"/>
      <c r="N88" s="195"/>
      <c r="O88" s="193"/>
      <c r="P88" s="195"/>
      <c r="Q88" s="194"/>
      <c r="R88" s="193"/>
    </row>
    <row r="89" spans="1:21">
      <c r="A89" s="184"/>
      <c r="B89" s="184"/>
      <c r="C89" s="184"/>
      <c r="D89" s="184"/>
      <c r="E89" s="184"/>
      <c r="F89" s="184"/>
      <c r="G89" s="190"/>
      <c r="H89" s="184"/>
      <c r="I89" s="184"/>
      <c r="J89" s="346"/>
      <c r="K89" s="193"/>
      <c r="L89" s="195"/>
      <c r="M89" s="193"/>
      <c r="N89" s="195"/>
      <c r="O89" s="193"/>
      <c r="P89" s="195"/>
      <c r="Q89" s="194"/>
      <c r="R89" s="193"/>
    </row>
    <row r="90" spans="1:21">
      <c r="A90" s="184"/>
      <c r="B90" s="184"/>
      <c r="C90" s="184"/>
      <c r="D90" s="184"/>
      <c r="E90" s="184"/>
      <c r="F90" s="184"/>
      <c r="G90" s="190"/>
      <c r="H90" s="184"/>
      <c r="I90" s="184"/>
      <c r="J90" s="346"/>
      <c r="K90" s="193"/>
      <c r="L90" s="195"/>
      <c r="M90" s="193"/>
      <c r="N90" s="195"/>
      <c r="O90" s="193"/>
      <c r="P90" s="195"/>
      <c r="Q90" s="194"/>
      <c r="R90" s="193"/>
    </row>
    <row r="91" spans="1:21">
      <c r="A91" s="184"/>
      <c r="B91" s="184"/>
      <c r="C91" s="184"/>
      <c r="D91" s="184"/>
      <c r="E91" s="184"/>
      <c r="F91" s="184"/>
      <c r="G91" s="190"/>
      <c r="H91" s="184"/>
      <c r="I91" s="184"/>
      <c r="J91" s="346"/>
      <c r="K91" s="193"/>
      <c r="L91" s="195"/>
      <c r="M91" s="193"/>
      <c r="N91" s="195"/>
      <c r="O91" s="193"/>
      <c r="P91" s="195"/>
      <c r="Q91" s="194"/>
      <c r="R91" s="193"/>
    </row>
    <row r="92" spans="1:21">
      <c r="A92" s="184"/>
      <c r="B92" s="184"/>
      <c r="C92" s="184"/>
      <c r="D92" s="184"/>
      <c r="E92" s="184"/>
      <c r="F92" s="184"/>
      <c r="G92" s="190"/>
      <c r="H92" s="184"/>
      <c r="I92" s="184"/>
      <c r="J92" s="346"/>
      <c r="K92" s="193"/>
      <c r="L92" s="195"/>
      <c r="M92" s="193"/>
      <c r="N92" s="195"/>
      <c r="O92" s="193"/>
      <c r="P92" s="195"/>
      <c r="Q92" s="194"/>
      <c r="R92" s="193"/>
    </row>
    <row r="93" spans="1:21">
      <c r="A93" s="184"/>
      <c r="B93" s="184"/>
      <c r="C93" s="184"/>
      <c r="D93" s="184"/>
      <c r="E93" s="184"/>
      <c r="F93" s="184"/>
      <c r="G93" s="190"/>
      <c r="H93" s="184"/>
      <c r="I93" s="184"/>
      <c r="J93" s="346"/>
      <c r="K93" s="193"/>
      <c r="L93" s="195"/>
      <c r="M93" s="193"/>
      <c r="N93" s="195"/>
      <c r="O93" s="193"/>
      <c r="P93" s="195"/>
      <c r="Q93" s="194"/>
      <c r="R93" s="193"/>
    </row>
    <row r="94" spans="1:21">
      <c r="A94" s="184"/>
      <c r="B94" s="184"/>
      <c r="C94" s="184"/>
      <c r="D94" s="184"/>
      <c r="E94" s="184"/>
      <c r="F94" s="184"/>
      <c r="G94" s="190"/>
      <c r="H94" s="184"/>
      <c r="I94" s="184"/>
      <c r="J94" s="346"/>
      <c r="K94" s="193"/>
      <c r="L94" s="195"/>
      <c r="M94" s="193"/>
      <c r="N94" s="195"/>
      <c r="O94" s="193"/>
      <c r="P94" s="195"/>
      <c r="Q94" s="194"/>
      <c r="R94" s="193"/>
    </row>
    <row r="95" spans="1:21">
      <c r="A95" s="184"/>
      <c r="B95" s="184"/>
      <c r="C95" s="184"/>
      <c r="D95" s="184"/>
      <c r="E95" s="184"/>
      <c r="F95" s="184"/>
      <c r="G95" s="190"/>
      <c r="H95" s="184"/>
      <c r="I95" s="184"/>
      <c r="J95" s="346"/>
      <c r="K95" s="193"/>
      <c r="L95" s="195"/>
      <c r="M95" s="193"/>
      <c r="N95" s="195"/>
      <c r="O95" s="193"/>
      <c r="P95" s="195"/>
      <c r="Q95" s="194"/>
      <c r="R95" s="193"/>
    </row>
    <row r="96" spans="1:21">
      <c r="A96" s="184"/>
      <c r="B96" s="184"/>
      <c r="C96" s="184"/>
      <c r="D96" s="184"/>
      <c r="E96" s="184"/>
      <c r="F96" s="184"/>
      <c r="G96" s="190"/>
      <c r="H96" s="184"/>
      <c r="I96" s="184"/>
      <c r="J96" s="346"/>
      <c r="K96" s="193"/>
      <c r="L96" s="195"/>
      <c r="M96" s="193"/>
      <c r="N96" s="195"/>
      <c r="O96" s="193"/>
      <c r="P96" s="195"/>
      <c r="Q96" s="194"/>
      <c r="R96" s="193"/>
    </row>
    <row r="97" spans="1:18">
      <c r="A97" s="184"/>
      <c r="B97" s="184"/>
      <c r="C97" s="184"/>
      <c r="D97" s="184"/>
      <c r="E97" s="184"/>
      <c r="F97" s="184"/>
      <c r="G97" s="184"/>
      <c r="H97" s="184"/>
      <c r="I97" s="184"/>
      <c r="J97" s="346"/>
      <c r="K97" s="193"/>
      <c r="L97" s="192"/>
      <c r="M97" s="193"/>
      <c r="N97" s="192"/>
      <c r="O97" s="193"/>
      <c r="P97" s="192"/>
      <c r="Q97" s="190"/>
      <c r="R97" s="184"/>
    </row>
    <row r="98" spans="1:18">
      <c r="A98" s="191"/>
      <c r="B98" s="184"/>
      <c r="C98" s="184"/>
      <c r="D98" s="184"/>
      <c r="E98" s="184"/>
      <c r="F98" s="189"/>
      <c r="G98" s="184"/>
      <c r="H98" s="184"/>
      <c r="I98" s="184"/>
      <c r="J98" s="346"/>
      <c r="K98" s="184"/>
      <c r="L98" s="190"/>
      <c r="M98" s="184"/>
      <c r="N98" s="184"/>
      <c r="O98" s="184"/>
      <c r="P98" s="185"/>
      <c r="Q98" s="184"/>
      <c r="R98" s="184"/>
    </row>
    <row r="99" spans="1:18">
      <c r="A99" s="184"/>
      <c r="B99" s="184"/>
      <c r="C99" s="184"/>
      <c r="D99" s="184"/>
      <c r="E99" s="184"/>
      <c r="F99" s="189"/>
      <c r="G99" s="184"/>
      <c r="H99" s="184"/>
      <c r="I99" s="184"/>
      <c r="J99" s="346"/>
      <c r="K99" s="184"/>
      <c r="L99" s="188"/>
      <c r="M99" s="184"/>
      <c r="N99" s="187"/>
      <c r="O99" s="184"/>
      <c r="P99" s="186"/>
      <c r="Q99" s="185"/>
      <c r="R99" s="184"/>
    </row>
    <row r="100" spans="1:18">
      <c r="A100" s="184"/>
      <c r="B100" s="184"/>
      <c r="C100" s="184"/>
      <c r="D100" s="184"/>
      <c r="E100" s="184"/>
      <c r="F100" s="184"/>
      <c r="G100" s="184"/>
      <c r="H100" s="184"/>
      <c r="I100" s="184"/>
      <c r="J100" s="346"/>
      <c r="K100" s="184"/>
      <c r="L100" s="184"/>
      <c r="M100" s="184"/>
      <c r="N100" s="185"/>
      <c r="O100" s="184"/>
      <c r="P100" s="184"/>
      <c r="Q100" s="184"/>
      <c r="R100" s="184"/>
    </row>
    <row r="101" spans="1:18">
      <c r="A101" s="184"/>
      <c r="B101" s="184"/>
      <c r="C101" s="184"/>
      <c r="D101" s="184"/>
      <c r="E101" s="184"/>
      <c r="F101" s="184"/>
      <c r="G101" s="184"/>
      <c r="H101" s="184"/>
      <c r="I101" s="184"/>
      <c r="J101" s="346"/>
      <c r="K101" s="184"/>
      <c r="L101" s="184"/>
      <c r="M101" s="184"/>
      <c r="N101" s="184"/>
      <c r="O101" s="184"/>
      <c r="P101" s="184"/>
      <c r="Q101" s="184"/>
      <c r="R101" s="184"/>
    </row>
    <row r="103" spans="1:18" ht="24.75" customHeight="1"/>
    <row r="104" spans="1:18">
      <c r="N104" s="183"/>
    </row>
    <row r="105" spans="1:18">
      <c r="F105" s="181"/>
      <c r="N105" s="182"/>
      <c r="O105" s="182"/>
    </row>
    <row r="106" spans="1:18">
      <c r="N106" s="181"/>
    </row>
    <row r="109" spans="1:18">
      <c r="F109" s="180"/>
    </row>
    <row r="110" spans="1:18">
      <c r="F110" s="179"/>
    </row>
    <row r="111" spans="1:18">
      <c r="E111" s="178"/>
    </row>
    <row r="112" spans="1:18">
      <c r="E112" s="177"/>
    </row>
    <row r="113" spans="5:5">
      <c r="E113" s="177"/>
    </row>
  </sheetData>
  <mergeCells count="34">
    <mergeCell ref="D10:R10"/>
    <mergeCell ref="A1:R1"/>
    <mergeCell ref="A2:R2"/>
    <mergeCell ref="A3:B3"/>
    <mergeCell ref="C3:R3"/>
    <mergeCell ref="A4:B4"/>
    <mergeCell ref="C4:R4"/>
    <mergeCell ref="D5:R5"/>
    <mergeCell ref="D6:R6"/>
    <mergeCell ref="D7:R7"/>
    <mergeCell ref="D8:R8"/>
    <mergeCell ref="D9:R9"/>
    <mergeCell ref="D11:R11"/>
    <mergeCell ref="A12:A14"/>
    <mergeCell ref="B12:B14"/>
    <mergeCell ref="C12:F12"/>
    <mergeCell ref="G12:J12"/>
    <mergeCell ref="K12:L12"/>
    <mergeCell ref="M12:N12"/>
    <mergeCell ref="O12:P12"/>
    <mergeCell ref="Q12:R12"/>
    <mergeCell ref="C13:D13"/>
    <mergeCell ref="K13:K14"/>
    <mergeCell ref="M13:M14"/>
    <mergeCell ref="O13:O14"/>
    <mergeCell ref="Q13:Q14"/>
    <mergeCell ref="R13:R14"/>
    <mergeCell ref="I13:I14"/>
    <mergeCell ref="J13:J14"/>
    <mergeCell ref="A83:D83"/>
    <mergeCell ref="E13:E14"/>
    <mergeCell ref="F13:F14"/>
    <mergeCell ref="G13:G14"/>
    <mergeCell ref="H13:H14"/>
  </mergeCells>
  <conditionalFormatting sqref="A15:R81">
    <cfRule type="expression" dxfId="7" priority="1">
      <formula>IF($M15&gt;0,1,0)</formula>
    </cfRule>
  </conditionalFormatting>
  <printOptions horizontalCentered="1"/>
  <pageMargins left="3.937007874015748E-2" right="0" top="0.43307086614173229" bottom="0.19685039370078741" header="0" footer="0"/>
  <pageSetup scale="57" fitToHeight="0" orientation="landscape" horizontalDpi="4294967293" r:id="rId1"/>
  <headerFooter scaleWithDoc="0" alignWithMargins="0"/>
  <rowBreaks count="1" manualBreakCount="1">
    <brk id="68" min="1" max="17" man="1"/>
  </rowBreaks>
  <colBreaks count="1" manualBreakCount="1">
    <brk id="18" max="1048575" man="1"/>
  </colBreaks>
  <ignoredErrors>
    <ignoredError sqref="I16:I79" unlocked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theme="8" tint="-0.249977111117893"/>
    <pageSetUpPr fitToPage="1"/>
  </sheetPr>
  <dimension ref="A1:AG113"/>
  <sheetViews>
    <sheetView showGridLines="0" view="pageBreakPreview" zoomScale="110" zoomScaleNormal="90" zoomScaleSheetLayoutView="110" zoomScalePageLayoutView="60" workbookViewId="0">
      <selection sqref="A1:R1"/>
    </sheetView>
  </sheetViews>
  <sheetFormatPr baseColWidth="10" defaultColWidth="11.44140625" defaultRowHeight="13.2"/>
  <cols>
    <col min="1" max="1" width="5.44140625" style="175" customWidth="1"/>
    <col min="2" max="2" width="53.44140625" style="175" customWidth="1"/>
    <col min="3" max="3" width="6.109375" style="175" customWidth="1"/>
    <col min="4" max="4" width="10.5546875" style="175" customWidth="1"/>
    <col min="5" max="5" width="10.88671875" style="175" customWidth="1"/>
    <col min="6" max="6" width="14.33203125" style="175" customWidth="1"/>
    <col min="7" max="7" width="10" style="175" customWidth="1"/>
    <col min="8" max="8" width="11.109375" style="175" customWidth="1"/>
    <col min="9" max="9" width="13.5546875" style="175" customWidth="1"/>
    <col min="10" max="10" width="8.6640625" style="347" customWidth="1"/>
    <col min="11" max="11" width="10.6640625" style="175" customWidth="1"/>
    <col min="12" max="12" width="13.88671875" style="175" customWidth="1"/>
    <col min="13" max="13" width="11.33203125" style="175" customWidth="1"/>
    <col min="14" max="14" width="15.6640625" style="175" customWidth="1"/>
    <col min="15" max="15" width="12.5546875" style="175" customWidth="1"/>
    <col min="16" max="16" width="13.6640625" style="175" customWidth="1"/>
    <col min="17" max="17" width="10.5546875" style="175" customWidth="1"/>
    <col min="18" max="18" width="10.109375" style="175" customWidth="1"/>
    <col min="19" max="19" width="20" style="175" customWidth="1"/>
    <col min="20" max="20" width="20" style="176" customWidth="1"/>
    <col min="21" max="21" width="20.33203125" style="176" customWidth="1"/>
    <col min="22" max="22" width="16" style="175" customWidth="1"/>
    <col min="23" max="23" width="11.44140625" style="175"/>
    <col min="24" max="24" width="23.44140625" style="175" customWidth="1"/>
    <col min="25" max="25" width="16.88671875" style="175" customWidth="1"/>
    <col min="26" max="16384" width="11.44140625" style="175"/>
  </cols>
  <sheetData>
    <row r="1" spans="1:25" s="276" customFormat="1" ht="23.25" customHeight="1">
      <c r="A1" s="790" t="s">
        <v>201</v>
      </c>
      <c r="B1" s="791"/>
      <c r="C1" s="791"/>
      <c r="D1" s="791"/>
      <c r="E1" s="791"/>
      <c r="F1" s="791"/>
      <c r="G1" s="791"/>
      <c r="H1" s="791"/>
      <c r="I1" s="791"/>
      <c r="J1" s="791"/>
      <c r="K1" s="791"/>
      <c r="L1" s="791"/>
      <c r="M1" s="791"/>
      <c r="N1" s="791"/>
      <c r="O1" s="791"/>
      <c r="P1" s="791"/>
      <c r="Q1" s="791"/>
      <c r="R1" s="792"/>
      <c r="T1" s="277"/>
      <c r="U1" s="277"/>
    </row>
    <row r="2" spans="1:25" s="2" customFormat="1" ht="18.75" customHeight="1">
      <c r="A2" s="793" t="str">
        <f>ANALISIS!A2:F2</f>
        <v>PROYECTO:  MEJORAMIENTO CAMINO ROSARIO DEL INGRE - MACHICOCA - IVOCA (FASE I)</v>
      </c>
      <c r="B2" s="794"/>
      <c r="C2" s="794"/>
      <c r="D2" s="794"/>
      <c r="E2" s="794"/>
      <c r="F2" s="794"/>
      <c r="G2" s="794"/>
      <c r="H2" s="794"/>
      <c r="I2" s="794"/>
      <c r="J2" s="794"/>
      <c r="K2" s="794"/>
      <c r="L2" s="794"/>
      <c r="M2" s="794"/>
      <c r="N2" s="794"/>
      <c r="O2" s="794"/>
      <c r="P2" s="794"/>
      <c r="Q2" s="794"/>
      <c r="R2" s="795"/>
      <c r="T2" s="6"/>
      <c r="U2" s="6"/>
    </row>
    <row r="3" spans="1:25" s="266" customFormat="1" ht="18.75" customHeight="1">
      <c r="A3" s="796" t="s">
        <v>9</v>
      </c>
      <c r="B3" s="719"/>
      <c r="C3" s="797" t="s">
        <v>78</v>
      </c>
      <c r="D3" s="797"/>
      <c r="E3" s="797"/>
      <c r="F3" s="797"/>
      <c r="G3" s="797"/>
      <c r="H3" s="797"/>
      <c r="I3" s="797"/>
      <c r="J3" s="797"/>
      <c r="K3" s="797"/>
      <c r="L3" s="797"/>
      <c r="M3" s="797"/>
      <c r="N3" s="797"/>
      <c r="O3" s="797"/>
      <c r="P3" s="797"/>
      <c r="Q3" s="797"/>
      <c r="R3" s="798"/>
      <c r="T3" s="267"/>
      <c r="U3" s="267"/>
    </row>
    <row r="4" spans="1:25" s="266" customFormat="1" ht="17.25" customHeight="1">
      <c r="A4" s="796" t="s">
        <v>15</v>
      </c>
      <c r="B4" s="719"/>
      <c r="C4" s="799" t="s">
        <v>77</v>
      </c>
      <c r="D4" s="799"/>
      <c r="E4" s="799"/>
      <c r="F4" s="799"/>
      <c r="G4" s="799"/>
      <c r="H4" s="799"/>
      <c r="I4" s="799"/>
      <c r="J4" s="799"/>
      <c r="K4" s="799"/>
      <c r="L4" s="799"/>
      <c r="M4" s="799"/>
      <c r="N4" s="799"/>
      <c r="O4" s="799"/>
      <c r="P4" s="799"/>
      <c r="Q4" s="799"/>
      <c r="R4" s="800"/>
      <c r="T4" s="267"/>
      <c r="U4" s="267"/>
    </row>
    <row r="5" spans="1:25" s="266" customFormat="1" ht="13.8">
      <c r="A5" s="274"/>
      <c r="B5" s="273" t="s">
        <v>11</v>
      </c>
      <c r="C5" s="272"/>
      <c r="D5" s="706">
        <v>43759</v>
      </c>
      <c r="E5" s="706"/>
      <c r="F5" s="706"/>
      <c r="G5" s="706"/>
      <c r="H5" s="706"/>
      <c r="I5" s="706"/>
      <c r="J5" s="706"/>
      <c r="K5" s="706"/>
      <c r="L5" s="706"/>
      <c r="M5" s="706"/>
      <c r="N5" s="706"/>
      <c r="O5" s="706"/>
      <c r="P5" s="706"/>
      <c r="Q5" s="706"/>
      <c r="R5" s="801"/>
      <c r="T5" s="267"/>
      <c r="U5" s="267"/>
    </row>
    <row r="6" spans="1:25" s="266" customFormat="1" ht="13.8">
      <c r="A6" s="270"/>
      <c r="B6" s="269" t="s">
        <v>12</v>
      </c>
      <c r="C6" s="271"/>
      <c r="D6" s="710" t="s">
        <v>85</v>
      </c>
      <c r="E6" s="710"/>
      <c r="F6" s="710"/>
      <c r="G6" s="710"/>
      <c r="H6" s="710"/>
      <c r="I6" s="710"/>
      <c r="J6" s="710"/>
      <c r="K6" s="710"/>
      <c r="L6" s="710"/>
      <c r="M6" s="710"/>
      <c r="N6" s="710"/>
      <c r="O6" s="710"/>
      <c r="P6" s="710"/>
      <c r="Q6" s="710"/>
      <c r="R6" s="789"/>
      <c r="T6" s="267"/>
      <c r="U6" s="267"/>
    </row>
    <row r="7" spans="1:25" s="266" customFormat="1" ht="13.8">
      <c r="A7" s="270"/>
      <c r="B7" s="269" t="s">
        <v>13</v>
      </c>
      <c r="C7" s="271"/>
      <c r="D7" s="708" t="s">
        <v>86</v>
      </c>
      <c r="E7" s="708"/>
      <c r="F7" s="708"/>
      <c r="G7" s="708"/>
      <c r="H7" s="708"/>
      <c r="I7" s="708"/>
      <c r="J7" s="708"/>
      <c r="K7" s="708"/>
      <c r="L7" s="708"/>
      <c r="M7" s="708"/>
      <c r="N7" s="708"/>
      <c r="O7" s="708"/>
      <c r="P7" s="708"/>
      <c r="Q7" s="708"/>
      <c r="R7" s="802"/>
      <c r="T7" s="267"/>
      <c r="U7" s="267"/>
    </row>
    <row r="8" spans="1:25" s="266" customFormat="1" ht="13.8">
      <c r="A8" s="270"/>
      <c r="B8" s="269" t="s">
        <v>14</v>
      </c>
      <c r="C8" s="271"/>
      <c r="D8" s="710">
        <f>600+D5</f>
        <v>44359</v>
      </c>
      <c r="E8" s="710"/>
      <c r="F8" s="710"/>
      <c r="G8" s="710"/>
      <c r="H8" s="710"/>
      <c r="I8" s="710"/>
      <c r="J8" s="710"/>
      <c r="K8" s="710"/>
      <c r="L8" s="710"/>
      <c r="M8" s="710"/>
      <c r="N8" s="710"/>
      <c r="O8" s="710"/>
      <c r="P8" s="710"/>
      <c r="Q8" s="710"/>
      <c r="R8" s="789"/>
      <c r="T8" s="267"/>
      <c r="U8" s="267"/>
    </row>
    <row r="9" spans="1:25" s="266" customFormat="1" ht="13.8">
      <c r="A9" s="270"/>
      <c r="B9" s="269" t="s">
        <v>88</v>
      </c>
      <c r="C9" s="271"/>
      <c r="D9" s="710" t="s">
        <v>87</v>
      </c>
      <c r="E9" s="710"/>
      <c r="F9" s="710"/>
      <c r="G9" s="710"/>
      <c r="H9" s="710"/>
      <c r="I9" s="710"/>
      <c r="J9" s="710"/>
      <c r="K9" s="710"/>
      <c r="L9" s="710"/>
      <c r="M9" s="710"/>
      <c r="N9" s="710"/>
      <c r="O9" s="710"/>
      <c r="P9" s="710"/>
      <c r="Q9" s="710"/>
      <c r="R9" s="789"/>
      <c r="T9" s="267"/>
      <c r="U9" s="267"/>
    </row>
    <row r="10" spans="1:25" s="266" customFormat="1" ht="13.8">
      <c r="A10" s="270"/>
      <c r="B10" s="269" t="s">
        <v>79</v>
      </c>
      <c r="C10" s="128"/>
      <c r="D10" s="710">
        <v>44570</v>
      </c>
      <c r="E10" s="710"/>
      <c r="F10" s="710"/>
      <c r="G10" s="710"/>
      <c r="H10" s="710"/>
      <c r="I10" s="710"/>
      <c r="J10" s="710"/>
      <c r="K10" s="710"/>
      <c r="L10" s="710"/>
      <c r="M10" s="710"/>
      <c r="N10" s="710"/>
      <c r="O10" s="710"/>
      <c r="P10" s="710"/>
      <c r="Q10" s="710"/>
      <c r="R10" s="789"/>
      <c r="T10" s="267"/>
      <c r="U10" s="267"/>
    </row>
    <row r="11" spans="1:25" s="266" customFormat="1" ht="13.8">
      <c r="A11" s="275"/>
      <c r="B11" s="268" t="s">
        <v>196</v>
      </c>
      <c r="C11" s="4"/>
      <c r="D11" s="775">
        <v>0</v>
      </c>
      <c r="E11" s="775"/>
      <c r="F11" s="775"/>
      <c r="G11" s="775"/>
      <c r="H11" s="775"/>
      <c r="I11" s="775"/>
      <c r="J11" s="775"/>
      <c r="K11" s="775"/>
      <c r="L11" s="775"/>
      <c r="M11" s="775"/>
      <c r="N11" s="775"/>
      <c r="O11" s="775"/>
      <c r="P11" s="775"/>
      <c r="Q11" s="775"/>
      <c r="R11" s="776"/>
      <c r="T11" s="267"/>
      <c r="U11" s="267"/>
    </row>
    <row r="12" spans="1:25" s="260" customFormat="1" ht="20.25" customHeight="1">
      <c r="A12" s="777" t="s">
        <v>2</v>
      </c>
      <c r="B12" s="728" t="s">
        <v>0</v>
      </c>
      <c r="C12" s="779" t="s">
        <v>3</v>
      </c>
      <c r="D12" s="779"/>
      <c r="E12" s="779"/>
      <c r="F12" s="779"/>
      <c r="G12" s="780" t="s">
        <v>80</v>
      </c>
      <c r="H12" s="781"/>
      <c r="I12" s="781"/>
      <c r="J12" s="782"/>
      <c r="K12" s="779" t="s">
        <v>195</v>
      </c>
      <c r="L12" s="779"/>
      <c r="M12" s="783" t="s">
        <v>194</v>
      </c>
      <c r="N12" s="784"/>
      <c r="O12" s="779" t="s">
        <v>161</v>
      </c>
      <c r="P12" s="779"/>
      <c r="Q12" s="785" t="s">
        <v>193</v>
      </c>
      <c r="R12" s="786"/>
      <c r="T12" s="261"/>
      <c r="U12" s="261"/>
    </row>
    <row r="13" spans="1:25" s="260" customFormat="1" ht="12.75" customHeight="1">
      <c r="A13" s="777"/>
      <c r="B13" s="728"/>
      <c r="C13" s="779" t="s">
        <v>5</v>
      </c>
      <c r="D13" s="779"/>
      <c r="E13" s="728" t="s">
        <v>1</v>
      </c>
      <c r="F13" s="728" t="s">
        <v>6</v>
      </c>
      <c r="G13" s="773" t="s">
        <v>81</v>
      </c>
      <c r="H13" s="773" t="s">
        <v>82</v>
      </c>
      <c r="I13" s="773" t="s">
        <v>192</v>
      </c>
      <c r="J13" s="729" t="s">
        <v>4</v>
      </c>
      <c r="K13" s="728" t="s">
        <v>1</v>
      </c>
      <c r="L13" s="265" t="s">
        <v>189</v>
      </c>
      <c r="M13" s="728" t="s">
        <v>1</v>
      </c>
      <c r="N13" s="265" t="s">
        <v>189</v>
      </c>
      <c r="O13" s="728" t="s">
        <v>1</v>
      </c>
      <c r="P13" s="265" t="s">
        <v>189</v>
      </c>
      <c r="Q13" s="728" t="s">
        <v>191</v>
      </c>
      <c r="R13" s="787" t="s">
        <v>190</v>
      </c>
      <c r="T13" s="261"/>
      <c r="U13" s="261"/>
    </row>
    <row r="14" spans="1:25" s="260" customFormat="1" ht="33.75" customHeight="1">
      <c r="A14" s="778"/>
      <c r="B14" s="729"/>
      <c r="C14" s="264" t="s">
        <v>7</v>
      </c>
      <c r="D14" s="264" t="s">
        <v>8</v>
      </c>
      <c r="E14" s="729"/>
      <c r="F14" s="729"/>
      <c r="G14" s="774"/>
      <c r="H14" s="774"/>
      <c r="I14" s="774"/>
      <c r="J14" s="770"/>
      <c r="K14" s="729"/>
      <c r="L14" s="264" t="s">
        <v>8</v>
      </c>
      <c r="M14" s="729"/>
      <c r="N14" s="264" t="s">
        <v>8</v>
      </c>
      <c r="O14" s="729"/>
      <c r="P14" s="264" t="s">
        <v>8</v>
      </c>
      <c r="Q14" s="729"/>
      <c r="R14" s="788" t="s">
        <v>188</v>
      </c>
      <c r="S14" s="263"/>
      <c r="T14" s="262"/>
      <c r="U14" s="261"/>
    </row>
    <row r="15" spans="1:25" ht="13.8">
      <c r="A15" s="229"/>
      <c r="B15" s="228" t="s">
        <v>26</v>
      </c>
      <c r="C15" s="227"/>
      <c r="D15" s="259"/>
      <c r="E15" s="259"/>
      <c r="F15" s="258"/>
      <c r="G15" s="226"/>
      <c r="H15" s="226"/>
      <c r="I15" s="226"/>
      <c r="J15" s="224"/>
      <c r="K15" s="258"/>
      <c r="L15" s="221"/>
      <c r="M15" s="221"/>
      <c r="N15" s="221"/>
      <c r="O15" s="221"/>
      <c r="P15" s="221"/>
      <c r="Q15" s="221"/>
      <c r="R15" s="220"/>
    </row>
    <row r="16" spans="1:25" ht="13.8">
      <c r="A16" s="313">
        <v>1</v>
      </c>
      <c r="B16" s="241" t="s">
        <v>17</v>
      </c>
      <c r="C16" s="234" t="s">
        <v>18</v>
      </c>
      <c r="D16" s="233">
        <v>47860.38</v>
      </c>
      <c r="E16" s="233">
        <v>0.5</v>
      </c>
      <c r="F16" s="240">
        <f t="shared" ref="F16:F21" si="0">D16*E16</f>
        <v>23930.19</v>
      </c>
      <c r="G16" s="314">
        <v>0</v>
      </c>
      <c r="H16" s="315">
        <v>0.5</v>
      </c>
      <c r="I16" s="315">
        <f t="shared" ref="I16:I21" si="1">+H16*D16</f>
        <v>23930.19</v>
      </c>
      <c r="J16" s="330"/>
      <c r="K16" s="317">
        <v>0.5</v>
      </c>
      <c r="L16" s="318">
        <v>23930.19</v>
      </c>
      <c r="M16" s="317"/>
      <c r="N16" s="318">
        <f t="shared" ref="N16:N21" si="2">ROUND(M16*D16,2)</f>
        <v>0</v>
      </c>
      <c r="O16" s="317">
        <f>M16+K16</f>
        <v>0.5</v>
      </c>
      <c r="P16" s="318">
        <f>L16+N16</f>
        <v>23930.19</v>
      </c>
      <c r="Q16" s="317">
        <f t="shared" ref="Q16:Q21" si="3">IF(ISERROR(N16/I16),"",ROUND(N16/I16*100,2))</f>
        <v>0</v>
      </c>
      <c r="R16" s="319">
        <f t="shared" ref="R16:R21" si="4">IF(ISERROR(P16/I16),"",ROUND(P16/I16*100,2))</f>
        <v>100</v>
      </c>
      <c r="S16" s="181"/>
      <c r="T16" s="205"/>
      <c r="W16" s="292"/>
      <c r="X16" s="292"/>
      <c r="Y16" s="294"/>
    </row>
    <row r="17" spans="1:33" ht="13.8">
      <c r="A17" s="239">
        <f>1+A16</f>
        <v>2</v>
      </c>
      <c r="B17" s="219" t="s">
        <v>19</v>
      </c>
      <c r="C17" s="218" t="s">
        <v>20</v>
      </c>
      <c r="D17" s="217">
        <v>4767.6099999999997</v>
      </c>
      <c r="E17" s="217">
        <v>5.57</v>
      </c>
      <c r="F17" s="216">
        <f t="shared" si="0"/>
        <v>26555.59</v>
      </c>
      <c r="G17" s="320">
        <f>+H17-E17</f>
        <v>0</v>
      </c>
      <c r="H17" s="238">
        <v>5.57</v>
      </c>
      <c r="I17" s="238">
        <f t="shared" si="1"/>
        <v>26555.59</v>
      </c>
      <c r="J17" s="237"/>
      <c r="K17" s="320">
        <v>5.57</v>
      </c>
      <c r="L17" s="321">
        <v>26555.59</v>
      </c>
      <c r="M17" s="235"/>
      <c r="N17" s="321">
        <f t="shared" si="2"/>
        <v>0</v>
      </c>
      <c r="O17" s="235">
        <f t="shared" ref="O17:O21" si="5">M17+K17</f>
        <v>5.57</v>
      </c>
      <c r="P17" s="321">
        <f t="shared" ref="P17:P21" si="6">L17+N17</f>
        <v>26555.59</v>
      </c>
      <c r="Q17" s="235">
        <f t="shared" si="3"/>
        <v>0</v>
      </c>
      <c r="R17" s="322">
        <f t="shared" si="4"/>
        <v>100</v>
      </c>
      <c r="S17" s="181"/>
      <c r="T17" s="205"/>
      <c r="W17" s="292"/>
      <c r="X17" s="292"/>
      <c r="Y17" s="294"/>
    </row>
    <row r="18" spans="1:33" s="244" customFormat="1" ht="13.8">
      <c r="A18" s="239">
        <f>1+A17</f>
        <v>3</v>
      </c>
      <c r="B18" s="219" t="s">
        <v>21</v>
      </c>
      <c r="C18" s="218" t="s">
        <v>10</v>
      </c>
      <c r="D18" s="217">
        <v>15.64</v>
      </c>
      <c r="E18" s="217">
        <v>40377.64</v>
      </c>
      <c r="F18" s="216">
        <f t="shared" si="0"/>
        <v>631506.29</v>
      </c>
      <c r="G18" s="320">
        <f>+H18-E18</f>
        <v>57206.19</v>
      </c>
      <c r="H18" s="238">
        <v>97583.83</v>
      </c>
      <c r="I18" s="238">
        <f t="shared" si="1"/>
        <v>1526211.1</v>
      </c>
      <c r="J18" s="237"/>
      <c r="K18" s="235">
        <v>39159.4</v>
      </c>
      <c r="L18" s="321">
        <v>612453.01</v>
      </c>
      <c r="M18" s="235">
        <v>15781.43</v>
      </c>
      <c r="N18" s="321">
        <f t="shared" si="2"/>
        <v>246821.57</v>
      </c>
      <c r="O18" s="235">
        <f t="shared" si="5"/>
        <v>54940.83</v>
      </c>
      <c r="P18" s="321">
        <f t="shared" si="6"/>
        <v>859274.58</v>
      </c>
      <c r="Q18" s="235">
        <f t="shared" si="3"/>
        <v>16.170000000000002</v>
      </c>
      <c r="R18" s="322">
        <f t="shared" si="4"/>
        <v>56.3</v>
      </c>
      <c r="S18" s="181"/>
      <c r="T18" s="205"/>
      <c r="U18" s="246"/>
      <c r="V18" s="247"/>
      <c r="W18" s="293"/>
      <c r="X18" s="293"/>
      <c r="Y18" s="294"/>
      <c r="Z18" s="247"/>
      <c r="AA18" s="247"/>
      <c r="AB18" s="247"/>
      <c r="AC18" s="247"/>
      <c r="AD18" s="247"/>
      <c r="AE18" s="247"/>
      <c r="AF18" s="247"/>
      <c r="AG18" s="247"/>
    </row>
    <row r="19" spans="1:33" s="244" customFormat="1" ht="13.8">
      <c r="A19" s="239">
        <f>1+A18</f>
        <v>4</v>
      </c>
      <c r="B19" s="219" t="s">
        <v>22</v>
      </c>
      <c r="C19" s="218" t="s">
        <v>10</v>
      </c>
      <c r="D19" s="217">
        <v>18.52</v>
      </c>
      <c r="E19" s="217">
        <v>10580</v>
      </c>
      <c r="F19" s="216">
        <f t="shared" si="0"/>
        <v>195941.6</v>
      </c>
      <c r="G19" s="320">
        <f>+H19-E19</f>
        <v>17742.57</v>
      </c>
      <c r="H19" s="238">
        <v>28322.57</v>
      </c>
      <c r="I19" s="238">
        <f t="shared" si="1"/>
        <v>524534</v>
      </c>
      <c r="J19" s="237"/>
      <c r="K19" s="235">
        <v>8739.35</v>
      </c>
      <c r="L19" s="321">
        <v>161852.76</v>
      </c>
      <c r="M19" s="235">
        <v>1292.46</v>
      </c>
      <c r="N19" s="321">
        <f t="shared" si="2"/>
        <v>23936.36</v>
      </c>
      <c r="O19" s="235">
        <f t="shared" si="5"/>
        <v>10031.81</v>
      </c>
      <c r="P19" s="321">
        <f t="shared" si="6"/>
        <v>185789.12</v>
      </c>
      <c r="Q19" s="235">
        <f t="shared" si="3"/>
        <v>4.5599999999999996</v>
      </c>
      <c r="R19" s="322">
        <f t="shared" si="4"/>
        <v>35.42</v>
      </c>
      <c r="S19" s="181"/>
      <c r="T19" s="205"/>
      <c r="U19" s="246"/>
      <c r="V19" s="247"/>
      <c r="W19" s="293"/>
      <c r="X19" s="293"/>
      <c r="Y19" s="294"/>
      <c r="Z19" s="247"/>
      <c r="AA19" s="247"/>
      <c r="AB19" s="247"/>
      <c r="AC19" s="247"/>
      <c r="AD19" s="247"/>
      <c r="AE19" s="247"/>
      <c r="AF19" s="247"/>
      <c r="AG19" s="247"/>
    </row>
    <row r="20" spans="1:33" ht="13.8">
      <c r="A20" s="239">
        <f>1+A19</f>
        <v>5</v>
      </c>
      <c r="B20" s="257" t="s">
        <v>23</v>
      </c>
      <c r="C20" s="218" t="s">
        <v>10</v>
      </c>
      <c r="D20" s="217">
        <v>57.61</v>
      </c>
      <c r="E20" s="217">
        <v>11436.25</v>
      </c>
      <c r="F20" s="216">
        <f t="shared" si="0"/>
        <v>658842.36</v>
      </c>
      <c r="G20" s="320">
        <f>+H20-E20</f>
        <v>-2950.25</v>
      </c>
      <c r="H20" s="238">
        <v>8486</v>
      </c>
      <c r="I20" s="238">
        <f t="shared" si="1"/>
        <v>488878.46</v>
      </c>
      <c r="J20" s="237"/>
      <c r="K20" s="321">
        <v>4380.2</v>
      </c>
      <c r="L20" s="321">
        <v>252343.32</v>
      </c>
      <c r="M20" s="321"/>
      <c r="N20" s="321">
        <f t="shared" si="2"/>
        <v>0</v>
      </c>
      <c r="O20" s="235">
        <f t="shared" si="5"/>
        <v>4380.2</v>
      </c>
      <c r="P20" s="321">
        <f t="shared" si="6"/>
        <v>252343.32</v>
      </c>
      <c r="Q20" s="235">
        <f t="shared" si="3"/>
        <v>0</v>
      </c>
      <c r="R20" s="322">
        <f t="shared" si="4"/>
        <v>51.62</v>
      </c>
      <c r="S20" s="181"/>
      <c r="T20" s="205"/>
      <c r="U20" s="205"/>
      <c r="V20" s="181"/>
      <c r="W20" s="292"/>
      <c r="X20" s="292"/>
      <c r="Y20" s="294"/>
      <c r="Z20" s="181"/>
      <c r="AA20" s="181"/>
      <c r="AB20" s="181"/>
      <c r="AC20" s="181"/>
      <c r="AD20" s="181"/>
      <c r="AE20" s="181"/>
      <c r="AF20" s="181"/>
      <c r="AG20" s="181"/>
    </row>
    <row r="21" spans="1:33" ht="13.8">
      <c r="A21" s="323">
        <f>1+A20</f>
        <v>6</v>
      </c>
      <c r="B21" s="256" t="s">
        <v>24</v>
      </c>
      <c r="C21" s="214" t="s">
        <v>25</v>
      </c>
      <c r="D21" s="213">
        <v>4.8600000000000003</v>
      </c>
      <c r="E21" s="213">
        <v>40296</v>
      </c>
      <c r="F21" s="230">
        <f t="shared" si="0"/>
        <v>195838.56</v>
      </c>
      <c r="G21" s="324">
        <f>+H21-E21</f>
        <v>35000</v>
      </c>
      <c r="H21" s="325">
        <v>75296</v>
      </c>
      <c r="I21" s="325">
        <f t="shared" si="1"/>
        <v>365938.56</v>
      </c>
      <c r="J21" s="326"/>
      <c r="K21" s="324">
        <v>39945</v>
      </c>
      <c r="L21" s="327">
        <v>194132.7</v>
      </c>
      <c r="M21" s="328">
        <v>5175</v>
      </c>
      <c r="N21" s="327">
        <f t="shared" si="2"/>
        <v>25150.5</v>
      </c>
      <c r="O21" s="328">
        <f t="shared" si="5"/>
        <v>45120</v>
      </c>
      <c r="P21" s="327">
        <f t="shared" si="6"/>
        <v>219283.20000000001</v>
      </c>
      <c r="Q21" s="328">
        <f t="shared" si="3"/>
        <v>6.87</v>
      </c>
      <c r="R21" s="329">
        <f t="shared" si="4"/>
        <v>59.92</v>
      </c>
      <c r="S21" s="181"/>
      <c r="T21" s="205"/>
      <c r="U21" s="205"/>
      <c r="V21" s="185"/>
      <c r="W21" s="292"/>
      <c r="X21" s="292"/>
      <c r="Y21" s="294"/>
      <c r="Z21" s="181"/>
      <c r="AA21" s="181"/>
      <c r="AB21" s="181"/>
      <c r="AC21" s="181"/>
      <c r="AD21" s="181"/>
      <c r="AE21" s="181"/>
      <c r="AF21" s="181"/>
      <c r="AG21" s="181"/>
    </row>
    <row r="22" spans="1:33" ht="13.8">
      <c r="A22" s="229"/>
      <c r="B22" s="255" t="s">
        <v>27</v>
      </c>
      <c r="C22" s="227"/>
      <c r="D22" s="226"/>
      <c r="E22" s="226"/>
      <c r="F22" s="225"/>
      <c r="G22" s="226"/>
      <c r="H22" s="225"/>
      <c r="I22" s="225"/>
      <c r="J22" s="224"/>
      <c r="K22" s="222"/>
      <c r="L22" s="222"/>
      <c r="M22" s="221"/>
      <c r="N22" s="221"/>
      <c r="O22" s="221"/>
      <c r="P22" s="222"/>
      <c r="Q22" s="221"/>
      <c r="R22" s="220"/>
      <c r="S22" s="181"/>
      <c r="T22" s="205"/>
      <c r="U22" s="205"/>
      <c r="V22" s="183"/>
      <c r="W22" s="181"/>
      <c r="X22" s="181"/>
      <c r="Y22" s="181"/>
      <c r="Z22" s="181"/>
      <c r="AA22" s="181"/>
      <c r="AB22" s="181"/>
      <c r="AC22" s="181"/>
      <c r="AD22" s="181"/>
      <c r="AE22" s="181"/>
      <c r="AF22" s="181"/>
      <c r="AG22" s="181"/>
    </row>
    <row r="23" spans="1:33" ht="12.75" customHeight="1">
      <c r="A23" s="313">
        <v>7</v>
      </c>
      <c r="B23" s="241" t="s">
        <v>28</v>
      </c>
      <c r="C23" s="234" t="s">
        <v>10</v>
      </c>
      <c r="D23" s="233">
        <v>61.39</v>
      </c>
      <c r="E23" s="233">
        <v>23213.09</v>
      </c>
      <c r="F23" s="240">
        <f>D23*E23</f>
        <v>1425051.6</v>
      </c>
      <c r="G23" s="314">
        <f>+H23-E23</f>
        <v>0</v>
      </c>
      <c r="H23" s="315">
        <v>23213.09</v>
      </c>
      <c r="I23" s="315">
        <f>+H23*D23</f>
        <v>1425051.6</v>
      </c>
      <c r="J23" s="330"/>
      <c r="K23" s="318">
        <v>7585.5</v>
      </c>
      <c r="L23" s="318">
        <v>465673.85</v>
      </c>
      <c r="M23" s="317">
        <v>776.25</v>
      </c>
      <c r="N23" s="317">
        <f t="shared" ref="N23:N40" si="7">ROUND(M23*D23,2)</f>
        <v>47653.99</v>
      </c>
      <c r="O23" s="317">
        <f t="shared" ref="O23:O25" si="8">M23+K23</f>
        <v>8361.75</v>
      </c>
      <c r="P23" s="318">
        <f t="shared" ref="P23:P25" si="9">L23+N23</f>
        <v>513327.84</v>
      </c>
      <c r="Q23" s="317">
        <f>IF(ISERROR(N23/I23),"",ROUND(N23/I23*100,2))</f>
        <v>3.34</v>
      </c>
      <c r="R23" s="319">
        <f>IF(ISERROR(P23/I23),"",ROUND(P23/I23*100,2))</f>
        <v>36.020000000000003</v>
      </c>
      <c r="S23" s="181"/>
      <c r="T23" s="205"/>
      <c r="U23" s="254"/>
      <c r="V23" s="181"/>
      <c r="W23" s="181"/>
      <c r="X23" s="181"/>
      <c r="Y23" s="181"/>
      <c r="Z23" s="181"/>
      <c r="AA23" s="181"/>
      <c r="AB23" s="181"/>
      <c r="AC23" s="181"/>
      <c r="AD23" s="181"/>
      <c r="AE23" s="181"/>
      <c r="AF23" s="181"/>
      <c r="AG23" s="181"/>
    </row>
    <row r="24" spans="1:33" ht="13.8">
      <c r="A24" s="239">
        <v>8</v>
      </c>
      <c r="B24" s="219" t="s">
        <v>29</v>
      </c>
      <c r="C24" s="218" t="s">
        <v>10</v>
      </c>
      <c r="D24" s="217">
        <v>18.55</v>
      </c>
      <c r="E24" s="217">
        <v>24098.81</v>
      </c>
      <c r="F24" s="216">
        <f>D24*E24</f>
        <v>447032.93</v>
      </c>
      <c r="G24" s="320">
        <f>+H24-E24</f>
        <v>0</v>
      </c>
      <c r="H24" s="238">
        <v>24098.81</v>
      </c>
      <c r="I24" s="238">
        <f>+H24*D24</f>
        <v>447032.93</v>
      </c>
      <c r="J24" s="237"/>
      <c r="K24" s="321">
        <v>7585.5</v>
      </c>
      <c r="L24" s="321">
        <v>140711.03</v>
      </c>
      <c r="M24" s="235">
        <v>776.25</v>
      </c>
      <c r="N24" s="235">
        <f t="shared" si="7"/>
        <v>14399.44</v>
      </c>
      <c r="O24" s="235">
        <f t="shared" si="8"/>
        <v>8361.75</v>
      </c>
      <c r="P24" s="321">
        <f t="shared" si="9"/>
        <v>155110.47</v>
      </c>
      <c r="Q24" s="235">
        <f>IF(ISERROR(N24/I24),"",ROUND(N24/I24*100,2))</f>
        <v>3.22</v>
      </c>
      <c r="R24" s="322">
        <f>IF(ISERROR(P24/I24),"",ROUND(P24/I24*100,2))</f>
        <v>34.700000000000003</v>
      </c>
      <c r="S24" s="181"/>
      <c r="T24" s="205"/>
      <c r="U24" s="254"/>
      <c r="V24" s="181"/>
      <c r="W24" s="181"/>
      <c r="X24" s="181"/>
      <c r="Y24" s="181"/>
      <c r="Z24" s="181"/>
      <c r="AA24" s="181"/>
      <c r="AB24" s="181"/>
      <c r="AC24" s="181"/>
      <c r="AD24" s="181"/>
      <c r="AE24" s="181"/>
      <c r="AF24" s="181"/>
      <c r="AG24" s="181"/>
    </row>
    <row r="25" spans="1:33" ht="13.8">
      <c r="A25" s="323">
        <v>9</v>
      </c>
      <c r="B25" s="215" t="s">
        <v>30</v>
      </c>
      <c r="C25" s="214" t="s">
        <v>18</v>
      </c>
      <c r="D25" s="213">
        <v>44453.32</v>
      </c>
      <c r="E25" s="213">
        <v>0.4</v>
      </c>
      <c r="F25" s="212">
        <f>D25*E25</f>
        <v>17781.330000000002</v>
      </c>
      <c r="G25" s="324">
        <f>+H25-E25</f>
        <v>0</v>
      </c>
      <c r="H25" s="325">
        <v>0.4</v>
      </c>
      <c r="I25" s="325">
        <f>+H25*D25</f>
        <v>17781.330000000002</v>
      </c>
      <c r="J25" s="326"/>
      <c r="K25" s="327">
        <v>13335.1</v>
      </c>
      <c r="L25" s="327">
        <v>9779.33</v>
      </c>
      <c r="M25" s="327">
        <v>0.01</v>
      </c>
      <c r="N25" s="328">
        <f t="shared" si="7"/>
        <v>444.53</v>
      </c>
      <c r="O25" s="327">
        <f t="shared" si="8"/>
        <v>13335.11</v>
      </c>
      <c r="P25" s="327">
        <f t="shared" si="9"/>
        <v>10223.86</v>
      </c>
      <c r="Q25" s="328">
        <f>IF(ISERROR(N25/I25),"",ROUND(N25/I25*100,2))</f>
        <v>2.5</v>
      </c>
      <c r="R25" s="329">
        <f>IF(ISERROR(P25/I25),"",ROUND(P25/I25*100,2))</f>
        <v>57.5</v>
      </c>
      <c r="S25" s="181"/>
      <c r="T25" s="205"/>
      <c r="U25" s="205"/>
      <c r="V25" s="181"/>
      <c r="W25" s="181"/>
      <c r="X25" s="181"/>
      <c r="Y25" s="181"/>
      <c r="Z25" s="181"/>
      <c r="AA25" s="181"/>
      <c r="AB25" s="181"/>
      <c r="AC25" s="181"/>
      <c r="AD25" s="181"/>
      <c r="AE25" s="181"/>
      <c r="AF25" s="181"/>
      <c r="AG25" s="181"/>
    </row>
    <row r="26" spans="1:33" ht="13.5" customHeight="1">
      <c r="A26" s="229"/>
      <c r="B26" s="228" t="s">
        <v>31</v>
      </c>
      <c r="C26" s="227"/>
      <c r="D26" s="226"/>
      <c r="E26" s="226"/>
      <c r="F26" s="225"/>
      <c r="G26" s="226"/>
      <c r="H26" s="225"/>
      <c r="I26" s="225"/>
      <c r="J26" s="224"/>
      <c r="K26" s="223"/>
      <c r="L26" s="222"/>
      <c r="M26" s="221"/>
      <c r="N26" s="221"/>
      <c r="O26" s="222"/>
      <c r="P26" s="222"/>
      <c r="Q26" s="221"/>
      <c r="R26" s="220"/>
      <c r="S26" s="181"/>
      <c r="T26" s="205"/>
      <c r="U26" s="205"/>
      <c r="V26" s="181"/>
      <c r="W26" s="181"/>
      <c r="X26" s="181"/>
      <c r="Y26" s="181"/>
      <c r="Z26" s="181"/>
      <c r="AA26" s="181"/>
      <c r="AB26" s="181"/>
      <c r="AC26" s="181"/>
      <c r="AD26" s="181"/>
      <c r="AE26" s="181"/>
      <c r="AF26" s="181"/>
      <c r="AG26" s="181"/>
    </row>
    <row r="27" spans="1:33" ht="13.8">
      <c r="A27" s="313">
        <v>10</v>
      </c>
      <c r="B27" s="241" t="s">
        <v>32</v>
      </c>
      <c r="C27" s="234" t="s">
        <v>18</v>
      </c>
      <c r="D27" s="233">
        <v>3848.37</v>
      </c>
      <c r="E27" s="233">
        <v>0.2</v>
      </c>
      <c r="F27" s="240">
        <f t="shared" ref="F27:F40" si="10">D27*E27</f>
        <v>769.67</v>
      </c>
      <c r="G27" s="314">
        <f t="shared" ref="G27:G40" si="11">+H27-E27</f>
        <v>0</v>
      </c>
      <c r="H27" s="315">
        <v>0.2</v>
      </c>
      <c r="I27" s="315">
        <f t="shared" ref="I27:I40" si="12">+H27*D27</f>
        <v>769.67</v>
      </c>
      <c r="J27" s="330"/>
      <c r="K27" s="315">
        <v>3848.37</v>
      </c>
      <c r="L27" s="318">
        <v>769.67</v>
      </c>
      <c r="M27" s="317"/>
      <c r="N27" s="317">
        <f t="shared" si="7"/>
        <v>0</v>
      </c>
      <c r="O27" s="318">
        <f t="shared" ref="O27:O40" si="13">M27+K27</f>
        <v>3848.37</v>
      </c>
      <c r="P27" s="318">
        <f t="shared" ref="P27:P40" si="14">L27+N27</f>
        <v>769.67</v>
      </c>
      <c r="Q27" s="317">
        <f t="shared" ref="Q27:Q40" si="15">IF(ISERROR(N27/I27),"",ROUND(N27/I27*100,2))</f>
        <v>0</v>
      </c>
      <c r="R27" s="319">
        <f t="shared" ref="R27:R40" si="16">IF(ISERROR(P27/I27),"",ROUND(P27/I27*100,2))</f>
        <v>100</v>
      </c>
      <c r="S27" s="181"/>
      <c r="T27" s="205"/>
      <c r="U27" s="205"/>
      <c r="V27" s="181"/>
      <c r="W27" s="181"/>
      <c r="X27" s="181"/>
      <c r="Y27" s="181"/>
      <c r="Z27" s="181"/>
      <c r="AA27" s="181"/>
      <c r="AB27" s="181"/>
      <c r="AC27" s="181"/>
      <c r="AD27" s="181"/>
      <c r="AE27" s="181"/>
      <c r="AF27" s="181"/>
      <c r="AG27" s="181"/>
    </row>
    <row r="28" spans="1:33" s="244" customFormat="1" ht="13.8">
      <c r="A28" s="239">
        <f t="shared" ref="A28:A40" si="17">1+A27</f>
        <v>11</v>
      </c>
      <c r="B28" s="219" t="s">
        <v>33</v>
      </c>
      <c r="C28" s="218" t="s">
        <v>10</v>
      </c>
      <c r="D28" s="217">
        <v>27.03</v>
      </c>
      <c r="E28" s="217">
        <v>7899.85</v>
      </c>
      <c r="F28" s="216">
        <f t="shared" si="10"/>
        <v>213532.95</v>
      </c>
      <c r="G28" s="320">
        <f t="shared" si="11"/>
        <v>0</v>
      </c>
      <c r="H28" s="238">
        <v>7899.85</v>
      </c>
      <c r="I28" s="238">
        <f t="shared" si="12"/>
        <v>213532.95</v>
      </c>
      <c r="J28" s="237"/>
      <c r="K28" s="238">
        <v>1853.16</v>
      </c>
      <c r="L28" s="321">
        <v>50090.91</v>
      </c>
      <c r="M28" s="235">
        <v>720.84</v>
      </c>
      <c r="N28" s="235">
        <f t="shared" si="7"/>
        <v>19484.310000000001</v>
      </c>
      <c r="O28" s="321">
        <f t="shared" si="13"/>
        <v>2574</v>
      </c>
      <c r="P28" s="321">
        <f t="shared" si="14"/>
        <v>69575.22</v>
      </c>
      <c r="Q28" s="235">
        <f t="shared" si="15"/>
        <v>9.1199999999999992</v>
      </c>
      <c r="R28" s="322">
        <f t="shared" si="16"/>
        <v>32.58</v>
      </c>
      <c r="S28" s="181"/>
      <c r="T28" s="205"/>
      <c r="U28" s="245"/>
      <c r="V28" s="247"/>
    </row>
    <row r="29" spans="1:33" s="244" customFormat="1" ht="15.75" customHeight="1">
      <c r="A29" s="239">
        <f t="shared" si="17"/>
        <v>12</v>
      </c>
      <c r="B29" s="219" t="s">
        <v>34</v>
      </c>
      <c r="C29" s="218" t="s">
        <v>10</v>
      </c>
      <c r="D29" s="217">
        <v>652.63</v>
      </c>
      <c r="E29" s="217">
        <v>1522.75</v>
      </c>
      <c r="F29" s="216">
        <f t="shared" si="10"/>
        <v>993792.33</v>
      </c>
      <c r="G29" s="320">
        <f t="shared" si="11"/>
        <v>3076.2</v>
      </c>
      <c r="H29" s="238">
        <v>4598.95</v>
      </c>
      <c r="I29" s="238">
        <f t="shared" si="12"/>
        <v>3001412.74</v>
      </c>
      <c r="J29" s="237"/>
      <c r="K29" s="238">
        <v>1407.84</v>
      </c>
      <c r="L29" s="321">
        <v>918798.61</v>
      </c>
      <c r="M29" s="235">
        <v>673.25</v>
      </c>
      <c r="N29" s="235">
        <f t="shared" si="7"/>
        <v>439383.15</v>
      </c>
      <c r="O29" s="321">
        <f t="shared" si="13"/>
        <v>2081.09</v>
      </c>
      <c r="P29" s="321">
        <f t="shared" si="14"/>
        <v>1358181.76</v>
      </c>
      <c r="Q29" s="235">
        <f t="shared" si="15"/>
        <v>14.64</v>
      </c>
      <c r="R29" s="322">
        <f t="shared" si="16"/>
        <v>45.25</v>
      </c>
      <c r="S29" s="181"/>
      <c r="T29" s="205"/>
      <c r="U29" s="245"/>
      <c r="V29" s="247"/>
    </row>
    <row r="30" spans="1:33" s="249" customFormat="1" ht="13.8">
      <c r="A30" s="239">
        <f t="shared" si="17"/>
        <v>13</v>
      </c>
      <c r="B30" s="219" t="s">
        <v>35</v>
      </c>
      <c r="C30" s="218" t="s">
        <v>10</v>
      </c>
      <c r="D30" s="217">
        <v>1801.53</v>
      </c>
      <c r="E30" s="217">
        <v>837.96</v>
      </c>
      <c r="F30" s="216">
        <f t="shared" si="10"/>
        <v>1509610.08</v>
      </c>
      <c r="G30" s="320">
        <f t="shared" si="11"/>
        <v>-236.8</v>
      </c>
      <c r="H30" s="238">
        <v>601.16</v>
      </c>
      <c r="I30" s="238">
        <f t="shared" si="12"/>
        <v>1083007.77</v>
      </c>
      <c r="J30" s="237"/>
      <c r="K30" s="238">
        <v>7.64</v>
      </c>
      <c r="L30" s="321">
        <v>13763.69</v>
      </c>
      <c r="M30" s="235">
        <v>37.44</v>
      </c>
      <c r="N30" s="235">
        <f t="shared" si="7"/>
        <v>67449.279999999999</v>
      </c>
      <c r="O30" s="321">
        <f t="shared" si="13"/>
        <v>45.08</v>
      </c>
      <c r="P30" s="321">
        <f t="shared" si="14"/>
        <v>81212.97</v>
      </c>
      <c r="Q30" s="235">
        <f t="shared" si="15"/>
        <v>6.23</v>
      </c>
      <c r="R30" s="322">
        <f t="shared" si="16"/>
        <v>7.5</v>
      </c>
      <c r="S30" s="181"/>
      <c r="T30" s="205"/>
      <c r="U30" s="251"/>
      <c r="V30" s="250"/>
    </row>
    <row r="31" spans="1:33" s="249" customFormat="1" ht="13.8">
      <c r="A31" s="239">
        <f t="shared" si="17"/>
        <v>14</v>
      </c>
      <c r="B31" s="219" t="s">
        <v>36</v>
      </c>
      <c r="C31" s="218" t="s">
        <v>46</v>
      </c>
      <c r="D31" s="217">
        <v>15.35</v>
      </c>
      <c r="E31" s="217">
        <v>108768.82</v>
      </c>
      <c r="F31" s="216">
        <f t="shared" si="10"/>
        <v>1669601.39</v>
      </c>
      <c r="G31" s="320">
        <f t="shared" si="11"/>
        <v>0</v>
      </c>
      <c r="H31" s="238">
        <v>108768.82</v>
      </c>
      <c r="I31" s="238">
        <f t="shared" si="12"/>
        <v>1669601.39</v>
      </c>
      <c r="J31" s="237"/>
      <c r="K31" s="238">
        <v>3548.04</v>
      </c>
      <c r="L31" s="321">
        <v>54462.41</v>
      </c>
      <c r="M31" s="235">
        <v>3967.17</v>
      </c>
      <c r="N31" s="235">
        <f t="shared" si="7"/>
        <v>60896.06</v>
      </c>
      <c r="O31" s="321">
        <f t="shared" si="13"/>
        <v>7515.21</v>
      </c>
      <c r="P31" s="321">
        <f t="shared" si="14"/>
        <v>115358.47</v>
      </c>
      <c r="Q31" s="235">
        <f t="shared" si="15"/>
        <v>3.65</v>
      </c>
      <c r="R31" s="322">
        <f t="shared" si="16"/>
        <v>6.91</v>
      </c>
      <c r="S31" s="181"/>
      <c r="T31" s="205"/>
      <c r="U31" s="251"/>
      <c r="V31" s="250"/>
    </row>
    <row r="32" spans="1:33" s="249" customFormat="1" ht="13.8">
      <c r="A32" s="239">
        <f t="shared" si="17"/>
        <v>15</v>
      </c>
      <c r="B32" s="219" t="s">
        <v>37</v>
      </c>
      <c r="C32" s="218" t="s">
        <v>10</v>
      </c>
      <c r="D32" s="217">
        <v>79.53</v>
      </c>
      <c r="E32" s="217">
        <v>74.010000000000005</v>
      </c>
      <c r="F32" s="216">
        <f t="shared" si="10"/>
        <v>5886.02</v>
      </c>
      <c r="G32" s="320">
        <f t="shared" si="11"/>
        <v>-34.26</v>
      </c>
      <c r="H32" s="238">
        <v>39.75</v>
      </c>
      <c r="I32" s="238">
        <f t="shared" si="12"/>
        <v>3161.32</v>
      </c>
      <c r="J32" s="237"/>
      <c r="K32" s="238">
        <v>13.35</v>
      </c>
      <c r="L32" s="321">
        <v>1061.73</v>
      </c>
      <c r="M32" s="235">
        <v>1.35</v>
      </c>
      <c r="N32" s="235">
        <f t="shared" si="7"/>
        <v>107.37</v>
      </c>
      <c r="O32" s="321">
        <f t="shared" si="13"/>
        <v>14.7</v>
      </c>
      <c r="P32" s="321">
        <f t="shared" si="14"/>
        <v>1169.0999999999999</v>
      </c>
      <c r="Q32" s="235">
        <f t="shared" si="15"/>
        <v>3.4</v>
      </c>
      <c r="R32" s="322">
        <f t="shared" si="16"/>
        <v>36.979999999999997</v>
      </c>
      <c r="S32" s="181"/>
      <c r="T32" s="205"/>
      <c r="U32" s="251"/>
      <c r="V32" s="250"/>
    </row>
    <row r="33" spans="1:22" s="249" customFormat="1" ht="13.8">
      <c r="A33" s="239">
        <f t="shared" si="17"/>
        <v>16</v>
      </c>
      <c r="B33" s="219" t="s">
        <v>38</v>
      </c>
      <c r="C33" s="218" t="s">
        <v>10</v>
      </c>
      <c r="D33" s="217">
        <v>59.3</v>
      </c>
      <c r="E33" s="217">
        <v>30077.59</v>
      </c>
      <c r="F33" s="216">
        <f t="shared" si="10"/>
        <v>1783601.09</v>
      </c>
      <c r="G33" s="320">
        <f t="shared" si="11"/>
        <v>-24444.22</v>
      </c>
      <c r="H33" s="238">
        <v>5633.37</v>
      </c>
      <c r="I33" s="238">
        <f t="shared" si="12"/>
        <v>334058.84000000003</v>
      </c>
      <c r="J33" s="237"/>
      <c r="K33" s="238">
        <v>1566.02</v>
      </c>
      <c r="L33" s="321">
        <v>92864.99</v>
      </c>
      <c r="M33" s="235">
        <v>1034.81</v>
      </c>
      <c r="N33" s="235">
        <f t="shared" si="7"/>
        <v>61364.23</v>
      </c>
      <c r="O33" s="321">
        <f t="shared" si="13"/>
        <v>2600.83</v>
      </c>
      <c r="P33" s="321">
        <f t="shared" si="14"/>
        <v>154229.22</v>
      </c>
      <c r="Q33" s="235">
        <f t="shared" si="15"/>
        <v>18.37</v>
      </c>
      <c r="R33" s="322">
        <f t="shared" si="16"/>
        <v>46.17</v>
      </c>
      <c r="S33" s="181"/>
      <c r="T33" s="205"/>
      <c r="U33" s="251"/>
      <c r="V33" s="250"/>
    </row>
    <row r="34" spans="1:22" s="249" customFormat="1" ht="13.8">
      <c r="A34" s="239">
        <f t="shared" si="17"/>
        <v>17</v>
      </c>
      <c r="B34" s="219" t="s">
        <v>39</v>
      </c>
      <c r="C34" s="218" t="s">
        <v>25</v>
      </c>
      <c r="D34" s="217">
        <v>213.4</v>
      </c>
      <c r="E34" s="217">
        <v>384.62</v>
      </c>
      <c r="F34" s="216">
        <f t="shared" si="10"/>
        <v>82077.91</v>
      </c>
      <c r="G34" s="320">
        <f t="shared" si="11"/>
        <v>0</v>
      </c>
      <c r="H34" s="238">
        <v>384.62</v>
      </c>
      <c r="I34" s="238">
        <f t="shared" si="12"/>
        <v>82077.91</v>
      </c>
      <c r="J34" s="237"/>
      <c r="K34" s="320">
        <v>0</v>
      </c>
      <c r="L34" s="321">
        <v>0</v>
      </c>
      <c r="M34" s="235"/>
      <c r="N34" s="235">
        <f t="shared" si="7"/>
        <v>0</v>
      </c>
      <c r="O34" s="321">
        <f t="shared" si="13"/>
        <v>0</v>
      </c>
      <c r="P34" s="321">
        <f t="shared" si="14"/>
        <v>0</v>
      </c>
      <c r="Q34" s="235">
        <f t="shared" si="15"/>
        <v>0</v>
      </c>
      <c r="R34" s="322">
        <f t="shared" si="16"/>
        <v>0</v>
      </c>
      <c r="S34" s="181"/>
      <c r="T34" s="205"/>
      <c r="U34" s="251"/>
      <c r="V34" s="250"/>
    </row>
    <row r="35" spans="1:22" ht="13.8">
      <c r="A35" s="239">
        <f t="shared" si="17"/>
        <v>18</v>
      </c>
      <c r="B35" s="219" t="s">
        <v>40</v>
      </c>
      <c r="C35" s="218" t="s">
        <v>25</v>
      </c>
      <c r="D35" s="217">
        <v>127.61</v>
      </c>
      <c r="E35" s="217">
        <v>795</v>
      </c>
      <c r="F35" s="216">
        <f t="shared" si="10"/>
        <v>101449.95</v>
      </c>
      <c r="G35" s="320">
        <f t="shared" si="11"/>
        <v>0</v>
      </c>
      <c r="H35" s="238">
        <v>795</v>
      </c>
      <c r="I35" s="238">
        <f t="shared" si="12"/>
        <v>101449.95</v>
      </c>
      <c r="J35" s="237"/>
      <c r="K35" s="236">
        <v>0</v>
      </c>
      <c r="L35" s="321">
        <v>0</v>
      </c>
      <c r="M35" s="235"/>
      <c r="N35" s="235">
        <f t="shared" si="7"/>
        <v>0</v>
      </c>
      <c r="O35" s="235">
        <f t="shared" si="13"/>
        <v>0</v>
      </c>
      <c r="P35" s="321">
        <f t="shared" si="14"/>
        <v>0</v>
      </c>
      <c r="Q35" s="235">
        <f t="shared" si="15"/>
        <v>0</v>
      </c>
      <c r="R35" s="322">
        <f t="shared" si="16"/>
        <v>0</v>
      </c>
      <c r="S35" s="181"/>
      <c r="T35" s="205"/>
      <c r="V35" s="181"/>
    </row>
    <row r="36" spans="1:22" ht="13.8">
      <c r="A36" s="239">
        <f t="shared" si="17"/>
        <v>19</v>
      </c>
      <c r="B36" s="219" t="s">
        <v>41</v>
      </c>
      <c r="C36" s="218" t="s">
        <v>10</v>
      </c>
      <c r="D36" s="217">
        <v>474.36</v>
      </c>
      <c r="E36" s="217">
        <v>1717</v>
      </c>
      <c r="F36" s="216">
        <f t="shared" si="10"/>
        <v>814476.12</v>
      </c>
      <c r="G36" s="320">
        <f t="shared" si="11"/>
        <v>-717</v>
      </c>
      <c r="H36" s="238">
        <v>1000</v>
      </c>
      <c r="I36" s="238">
        <f t="shared" si="12"/>
        <v>474360</v>
      </c>
      <c r="J36" s="237"/>
      <c r="K36" s="238">
        <v>298.5</v>
      </c>
      <c r="L36" s="321">
        <v>141596.46</v>
      </c>
      <c r="M36" s="235">
        <v>199</v>
      </c>
      <c r="N36" s="235">
        <f t="shared" si="7"/>
        <v>94397.64</v>
      </c>
      <c r="O36" s="235">
        <f t="shared" si="13"/>
        <v>497.5</v>
      </c>
      <c r="P36" s="321">
        <f t="shared" si="14"/>
        <v>235994.1</v>
      </c>
      <c r="Q36" s="235">
        <f t="shared" si="15"/>
        <v>19.899999999999999</v>
      </c>
      <c r="R36" s="322">
        <f t="shared" si="16"/>
        <v>49.75</v>
      </c>
      <c r="S36" s="181"/>
      <c r="T36" s="205"/>
      <c r="V36" s="181"/>
    </row>
    <row r="37" spans="1:22" s="249" customFormat="1" ht="13.8">
      <c r="A37" s="239">
        <f t="shared" si="17"/>
        <v>20</v>
      </c>
      <c r="B37" s="219" t="s">
        <v>42</v>
      </c>
      <c r="C37" s="218" t="s">
        <v>47</v>
      </c>
      <c r="D37" s="217">
        <v>111.72</v>
      </c>
      <c r="E37" s="217">
        <v>18000</v>
      </c>
      <c r="F37" s="216">
        <f t="shared" si="10"/>
        <v>2010960</v>
      </c>
      <c r="G37" s="320">
        <f t="shared" si="11"/>
        <v>-10989.12</v>
      </c>
      <c r="H37" s="345">
        <v>7010.8841000000002</v>
      </c>
      <c r="I37" s="238">
        <f t="shared" si="12"/>
        <v>783255.97</v>
      </c>
      <c r="J37" s="237"/>
      <c r="K37" s="236">
        <v>0</v>
      </c>
      <c r="L37" s="321">
        <v>0</v>
      </c>
      <c r="M37" s="235"/>
      <c r="N37" s="235">
        <f t="shared" si="7"/>
        <v>0</v>
      </c>
      <c r="O37" s="235">
        <f t="shared" si="13"/>
        <v>0</v>
      </c>
      <c r="P37" s="321">
        <f t="shared" si="14"/>
        <v>0</v>
      </c>
      <c r="Q37" s="235">
        <f t="shared" si="15"/>
        <v>0</v>
      </c>
      <c r="R37" s="322">
        <f t="shared" si="16"/>
        <v>0</v>
      </c>
      <c r="S37" s="181"/>
      <c r="T37" s="205"/>
      <c r="U37" s="251"/>
      <c r="V37" s="250"/>
    </row>
    <row r="38" spans="1:22" s="249" customFormat="1" ht="13.8">
      <c r="A38" s="239">
        <f t="shared" si="17"/>
        <v>21</v>
      </c>
      <c r="B38" s="219" t="s">
        <v>43</v>
      </c>
      <c r="C38" s="218" t="s">
        <v>47</v>
      </c>
      <c r="D38" s="217">
        <v>1596.02</v>
      </c>
      <c r="E38" s="217">
        <v>343.55</v>
      </c>
      <c r="F38" s="216">
        <f t="shared" si="10"/>
        <v>548312.67000000004</v>
      </c>
      <c r="G38" s="320">
        <f t="shared" si="11"/>
        <v>0</v>
      </c>
      <c r="H38" s="238">
        <v>343.55</v>
      </c>
      <c r="I38" s="238">
        <f t="shared" si="12"/>
        <v>548312.67000000004</v>
      </c>
      <c r="J38" s="237"/>
      <c r="K38" s="236">
        <v>98</v>
      </c>
      <c r="L38" s="321">
        <v>156409.96</v>
      </c>
      <c r="M38" s="235">
        <v>35</v>
      </c>
      <c r="N38" s="235">
        <f t="shared" si="7"/>
        <v>55860.7</v>
      </c>
      <c r="O38" s="235">
        <f t="shared" si="13"/>
        <v>133</v>
      </c>
      <c r="P38" s="321">
        <f t="shared" si="14"/>
        <v>212270.66</v>
      </c>
      <c r="Q38" s="235">
        <f t="shared" si="15"/>
        <v>10.19</v>
      </c>
      <c r="R38" s="322">
        <f t="shared" si="16"/>
        <v>38.71</v>
      </c>
      <c r="S38" s="181"/>
      <c r="T38" s="205"/>
      <c r="U38" s="251"/>
      <c r="V38" s="250"/>
    </row>
    <row r="39" spans="1:22" ht="13.8">
      <c r="A39" s="239">
        <f t="shared" si="17"/>
        <v>22</v>
      </c>
      <c r="B39" s="219" t="s">
        <v>44</v>
      </c>
      <c r="C39" s="218" t="s">
        <v>10</v>
      </c>
      <c r="D39" s="217">
        <v>638.48</v>
      </c>
      <c r="E39" s="217">
        <v>70.819999999999993</v>
      </c>
      <c r="F39" s="216">
        <f t="shared" si="10"/>
        <v>45217.15</v>
      </c>
      <c r="G39" s="320">
        <f t="shared" si="11"/>
        <v>0</v>
      </c>
      <c r="H39" s="238">
        <v>70.819999999999993</v>
      </c>
      <c r="I39" s="238">
        <f t="shared" si="12"/>
        <v>45217.15</v>
      </c>
      <c r="J39" s="237"/>
      <c r="K39" s="236">
        <v>0</v>
      </c>
      <c r="L39" s="321">
        <v>0</v>
      </c>
      <c r="M39" s="235"/>
      <c r="N39" s="235">
        <f t="shared" si="7"/>
        <v>0</v>
      </c>
      <c r="O39" s="235">
        <f t="shared" si="13"/>
        <v>0</v>
      </c>
      <c r="P39" s="321">
        <f t="shared" si="14"/>
        <v>0</v>
      </c>
      <c r="Q39" s="235">
        <f t="shared" si="15"/>
        <v>0</v>
      </c>
      <c r="R39" s="322">
        <f t="shared" si="16"/>
        <v>0</v>
      </c>
      <c r="S39" s="181"/>
      <c r="T39" s="205"/>
      <c r="V39" s="181"/>
    </row>
    <row r="40" spans="1:22" ht="13.8">
      <c r="A40" s="323">
        <f t="shared" si="17"/>
        <v>23</v>
      </c>
      <c r="B40" s="215" t="s">
        <v>45</v>
      </c>
      <c r="C40" s="214" t="s">
        <v>47</v>
      </c>
      <c r="D40" s="213">
        <v>44.35</v>
      </c>
      <c r="E40" s="213">
        <v>2726.08</v>
      </c>
      <c r="F40" s="212">
        <f t="shared" si="10"/>
        <v>120901.65</v>
      </c>
      <c r="G40" s="324">
        <f t="shared" si="11"/>
        <v>0</v>
      </c>
      <c r="H40" s="325">
        <v>2726.08</v>
      </c>
      <c r="I40" s="325">
        <f t="shared" si="12"/>
        <v>120901.65</v>
      </c>
      <c r="J40" s="326"/>
      <c r="K40" s="331">
        <v>0</v>
      </c>
      <c r="L40" s="327">
        <v>0</v>
      </c>
      <c r="M40" s="328"/>
      <c r="N40" s="328">
        <f t="shared" si="7"/>
        <v>0</v>
      </c>
      <c r="O40" s="328">
        <f t="shared" si="13"/>
        <v>0</v>
      </c>
      <c r="P40" s="327">
        <f t="shared" si="14"/>
        <v>0</v>
      </c>
      <c r="Q40" s="328">
        <f t="shared" si="15"/>
        <v>0</v>
      </c>
      <c r="R40" s="329">
        <f t="shared" si="16"/>
        <v>0</v>
      </c>
      <c r="S40" s="181"/>
      <c r="T40" s="205"/>
      <c r="V40" s="181"/>
    </row>
    <row r="41" spans="1:22" ht="13.8">
      <c r="A41" s="229"/>
      <c r="B41" s="228" t="s">
        <v>48</v>
      </c>
      <c r="C41" s="227"/>
      <c r="D41" s="226"/>
      <c r="E41" s="226"/>
      <c r="F41" s="225"/>
      <c r="G41" s="226"/>
      <c r="H41" s="225"/>
      <c r="I41" s="225"/>
      <c r="J41" s="224"/>
      <c r="K41" s="223"/>
      <c r="L41" s="221"/>
      <c r="M41" s="221"/>
      <c r="N41" s="221"/>
      <c r="O41" s="221"/>
      <c r="P41" s="222"/>
      <c r="Q41" s="221"/>
      <c r="R41" s="220"/>
      <c r="S41" s="181"/>
      <c r="T41" s="205"/>
      <c r="V41" s="181"/>
    </row>
    <row r="42" spans="1:22" ht="13.8">
      <c r="A42" s="313">
        <v>24</v>
      </c>
      <c r="B42" s="241" t="s">
        <v>17</v>
      </c>
      <c r="C42" s="234" t="s">
        <v>18</v>
      </c>
      <c r="D42" s="233">
        <v>47860.38</v>
      </c>
      <c r="E42" s="233">
        <v>1</v>
      </c>
      <c r="F42" s="240">
        <f t="shared" ref="F42:F55" si="18">D42*E42</f>
        <v>47860.38</v>
      </c>
      <c r="G42" s="314">
        <f t="shared" ref="G42:G55" si="19">+H42-E42</f>
        <v>0</v>
      </c>
      <c r="H42" s="315">
        <v>1</v>
      </c>
      <c r="I42" s="315">
        <f t="shared" ref="I42:I55" si="20">+H42*D42</f>
        <v>47860.38</v>
      </c>
      <c r="J42" s="330"/>
      <c r="K42" s="315">
        <v>1</v>
      </c>
      <c r="L42" s="318">
        <v>47860.38</v>
      </c>
      <c r="M42" s="317"/>
      <c r="N42" s="317">
        <f t="shared" ref="N42:N55" si="21">ROUND(M42*D42,2)</f>
        <v>0</v>
      </c>
      <c r="O42" s="317">
        <f t="shared" ref="O42:O55" si="22">M42+K42</f>
        <v>1</v>
      </c>
      <c r="P42" s="318">
        <f t="shared" ref="P42:P55" si="23">L42+N42</f>
        <v>47860.38</v>
      </c>
      <c r="Q42" s="317">
        <f t="shared" ref="Q42:Q55" si="24">IF(ISERROR(N42/I42),"",ROUND(N42/I42*100,2))</f>
        <v>0</v>
      </c>
      <c r="R42" s="319">
        <f t="shared" ref="R42:R55" si="25">IF(ISERROR(P42/I42),"",ROUND(P42/I42*100,2))</f>
        <v>100</v>
      </c>
      <c r="S42" s="181"/>
      <c r="T42" s="205"/>
    </row>
    <row r="43" spans="1:22" ht="13.8">
      <c r="A43" s="239">
        <f t="shared" ref="A43:A55" si="26">1+A42</f>
        <v>25</v>
      </c>
      <c r="B43" s="219" t="s">
        <v>32</v>
      </c>
      <c r="C43" s="218" t="s">
        <v>18</v>
      </c>
      <c r="D43" s="217">
        <v>3848.37</v>
      </c>
      <c r="E43" s="217">
        <v>1</v>
      </c>
      <c r="F43" s="216">
        <f t="shared" si="18"/>
        <v>3848.37</v>
      </c>
      <c r="G43" s="320">
        <f t="shared" si="19"/>
        <v>0</v>
      </c>
      <c r="H43" s="238">
        <v>1</v>
      </c>
      <c r="I43" s="238">
        <f t="shared" si="20"/>
        <v>3848.37</v>
      </c>
      <c r="J43" s="237"/>
      <c r="K43" s="238">
        <v>1</v>
      </c>
      <c r="L43" s="321">
        <v>3848.37</v>
      </c>
      <c r="M43" s="235"/>
      <c r="N43" s="235">
        <f t="shared" si="21"/>
        <v>0</v>
      </c>
      <c r="O43" s="235">
        <f t="shared" si="22"/>
        <v>1</v>
      </c>
      <c r="P43" s="321">
        <f t="shared" si="23"/>
        <v>3848.37</v>
      </c>
      <c r="Q43" s="235">
        <f t="shared" si="24"/>
        <v>0</v>
      </c>
      <c r="R43" s="322">
        <f t="shared" si="25"/>
        <v>100</v>
      </c>
      <c r="S43" s="181"/>
      <c r="T43" s="205"/>
    </row>
    <row r="44" spans="1:22" s="244" customFormat="1" ht="13.8">
      <c r="A44" s="239">
        <f t="shared" si="26"/>
        <v>26</v>
      </c>
      <c r="B44" s="219" t="s">
        <v>49</v>
      </c>
      <c r="C44" s="218" t="s">
        <v>10</v>
      </c>
      <c r="D44" s="217">
        <v>27.03</v>
      </c>
      <c r="E44" s="217">
        <v>797</v>
      </c>
      <c r="F44" s="216">
        <f t="shared" si="18"/>
        <v>21542.91</v>
      </c>
      <c r="G44" s="320">
        <f t="shared" si="19"/>
        <v>295.10000000000002</v>
      </c>
      <c r="H44" s="238">
        <v>1092.0999999999999</v>
      </c>
      <c r="I44" s="238">
        <f t="shared" si="20"/>
        <v>29519.46</v>
      </c>
      <c r="J44" s="237"/>
      <c r="K44" s="236">
        <v>0</v>
      </c>
      <c r="L44" s="321">
        <v>0</v>
      </c>
      <c r="M44" s="235"/>
      <c r="N44" s="235">
        <f t="shared" si="21"/>
        <v>0</v>
      </c>
      <c r="O44" s="235">
        <f t="shared" si="22"/>
        <v>0</v>
      </c>
      <c r="P44" s="321">
        <f t="shared" si="23"/>
        <v>0</v>
      </c>
      <c r="Q44" s="235">
        <f t="shared" si="24"/>
        <v>0</v>
      </c>
      <c r="R44" s="322">
        <f t="shared" si="25"/>
        <v>0</v>
      </c>
      <c r="S44" s="181"/>
      <c r="T44" s="205"/>
      <c r="U44" s="245"/>
    </row>
    <row r="45" spans="1:22" s="244" customFormat="1" ht="13.8">
      <c r="A45" s="239">
        <f t="shared" si="26"/>
        <v>27</v>
      </c>
      <c r="B45" s="219" t="s">
        <v>35</v>
      </c>
      <c r="C45" s="218" t="s">
        <v>10</v>
      </c>
      <c r="D45" s="217">
        <v>1801.53</v>
      </c>
      <c r="E45" s="217">
        <v>486.72</v>
      </c>
      <c r="F45" s="216">
        <f t="shared" si="18"/>
        <v>876840.68</v>
      </c>
      <c r="G45" s="320">
        <f t="shared" si="19"/>
        <v>150.13999999999999</v>
      </c>
      <c r="H45" s="238">
        <v>636.86</v>
      </c>
      <c r="I45" s="238">
        <f t="shared" si="20"/>
        <v>1147322.3999999999</v>
      </c>
      <c r="J45" s="237"/>
      <c r="K45" s="236">
        <v>0</v>
      </c>
      <c r="L45" s="321">
        <v>0</v>
      </c>
      <c r="M45" s="235"/>
      <c r="N45" s="235">
        <f t="shared" si="21"/>
        <v>0</v>
      </c>
      <c r="O45" s="235">
        <f t="shared" si="22"/>
        <v>0</v>
      </c>
      <c r="P45" s="321">
        <f t="shared" si="23"/>
        <v>0</v>
      </c>
      <c r="Q45" s="235">
        <f t="shared" si="24"/>
        <v>0</v>
      </c>
      <c r="R45" s="322">
        <f t="shared" si="25"/>
        <v>0</v>
      </c>
      <c r="S45" s="181"/>
      <c r="T45" s="205"/>
      <c r="U45" s="245"/>
    </row>
    <row r="46" spans="1:22" s="244" customFormat="1" ht="13.8">
      <c r="A46" s="239">
        <f t="shared" si="26"/>
        <v>28</v>
      </c>
      <c r="B46" s="219" t="s">
        <v>36</v>
      </c>
      <c r="C46" s="218" t="s">
        <v>46</v>
      </c>
      <c r="D46" s="217">
        <v>15.35</v>
      </c>
      <c r="E46" s="217">
        <v>31927.89</v>
      </c>
      <c r="F46" s="216">
        <f t="shared" si="18"/>
        <v>490093.11</v>
      </c>
      <c r="G46" s="320">
        <f t="shared" si="19"/>
        <v>-984.49</v>
      </c>
      <c r="H46" s="238">
        <v>30943.4</v>
      </c>
      <c r="I46" s="238">
        <f t="shared" si="20"/>
        <v>474981.19</v>
      </c>
      <c r="J46" s="237"/>
      <c r="K46" s="238">
        <v>0</v>
      </c>
      <c r="L46" s="321">
        <v>0</v>
      </c>
      <c r="M46" s="235">
        <v>6315.96</v>
      </c>
      <c r="N46" s="235">
        <f t="shared" si="21"/>
        <v>96949.99</v>
      </c>
      <c r="O46" s="235">
        <f t="shared" si="22"/>
        <v>6315.96</v>
      </c>
      <c r="P46" s="321">
        <f t="shared" si="23"/>
        <v>96949.99</v>
      </c>
      <c r="Q46" s="235">
        <f t="shared" si="24"/>
        <v>20.41</v>
      </c>
      <c r="R46" s="322">
        <f t="shared" si="25"/>
        <v>20.41</v>
      </c>
      <c r="S46" s="181"/>
      <c r="T46" s="205"/>
      <c r="U46" s="245"/>
    </row>
    <row r="47" spans="1:22" ht="13.8">
      <c r="A47" s="239">
        <f t="shared" si="26"/>
        <v>29</v>
      </c>
      <c r="B47" s="219" t="s">
        <v>50</v>
      </c>
      <c r="C47" s="218" t="s">
        <v>47</v>
      </c>
      <c r="D47" s="217">
        <v>3943.09</v>
      </c>
      <c r="E47" s="217">
        <v>105</v>
      </c>
      <c r="F47" s="216">
        <f t="shared" si="18"/>
        <v>414024.45</v>
      </c>
      <c r="G47" s="320">
        <f t="shared" si="19"/>
        <v>35</v>
      </c>
      <c r="H47" s="238">
        <v>140</v>
      </c>
      <c r="I47" s="238">
        <f t="shared" si="20"/>
        <v>552032.6</v>
      </c>
      <c r="J47" s="237"/>
      <c r="K47" s="238">
        <v>0</v>
      </c>
      <c r="L47" s="321">
        <v>0</v>
      </c>
      <c r="M47" s="235"/>
      <c r="N47" s="235">
        <f t="shared" si="21"/>
        <v>0</v>
      </c>
      <c r="O47" s="235">
        <f t="shared" si="22"/>
        <v>0</v>
      </c>
      <c r="P47" s="321">
        <f t="shared" si="23"/>
        <v>0</v>
      </c>
      <c r="Q47" s="235">
        <f t="shared" si="24"/>
        <v>0</v>
      </c>
      <c r="R47" s="322">
        <f t="shared" si="25"/>
        <v>0</v>
      </c>
      <c r="S47" s="181"/>
      <c r="T47" s="205"/>
    </row>
    <row r="48" spans="1:22" ht="13.8">
      <c r="A48" s="239">
        <f t="shared" si="26"/>
        <v>30</v>
      </c>
      <c r="B48" s="219" t="s">
        <v>51</v>
      </c>
      <c r="C48" s="218" t="s">
        <v>58</v>
      </c>
      <c r="D48" s="217">
        <v>403.4</v>
      </c>
      <c r="E48" s="217">
        <v>48</v>
      </c>
      <c r="F48" s="216">
        <f t="shared" si="18"/>
        <v>19363.2</v>
      </c>
      <c r="G48" s="320">
        <f t="shared" si="19"/>
        <v>16</v>
      </c>
      <c r="H48" s="238">
        <v>64</v>
      </c>
      <c r="I48" s="238">
        <f t="shared" si="20"/>
        <v>25817.599999999999</v>
      </c>
      <c r="J48" s="237"/>
      <c r="K48" s="238">
        <v>0</v>
      </c>
      <c r="L48" s="321">
        <v>0</v>
      </c>
      <c r="M48" s="235"/>
      <c r="N48" s="235">
        <f t="shared" si="21"/>
        <v>0</v>
      </c>
      <c r="O48" s="235">
        <f t="shared" si="22"/>
        <v>0</v>
      </c>
      <c r="P48" s="321">
        <f t="shared" si="23"/>
        <v>0</v>
      </c>
      <c r="Q48" s="235">
        <f t="shared" si="24"/>
        <v>0</v>
      </c>
      <c r="R48" s="322">
        <f t="shared" si="25"/>
        <v>0</v>
      </c>
      <c r="S48" s="181"/>
      <c r="T48" s="205"/>
    </row>
    <row r="49" spans="1:21" ht="13.8">
      <c r="A49" s="239">
        <f t="shared" si="26"/>
        <v>31</v>
      </c>
      <c r="B49" s="219" t="s">
        <v>52</v>
      </c>
      <c r="C49" s="218" t="s">
        <v>18</v>
      </c>
      <c r="D49" s="217">
        <v>45986.77</v>
      </c>
      <c r="E49" s="217">
        <v>0.65</v>
      </c>
      <c r="F49" s="216">
        <f t="shared" si="18"/>
        <v>29891.4</v>
      </c>
      <c r="G49" s="320">
        <f t="shared" si="19"/>
        <v>0.22</v>
      </c>
      <c r="H49" s="238">
        <v>0.87</v>
      </c>
      <c r="I49" s="238">
        <f t="shared" si="20"/>
        <v>40008.49</v>
      </c>
      <c r="J49" s="237"/>
      <c r="K49" s="238">
        <v>0</v>
      </c>
      <c r="L49" s="321">
        <v>0</v>
      </c>
      <c r="M49" s="235"/>
      <c r="N49" s="235">
        <f t="shared" si="21"/>
        <v>0</v>
      </c>
      <c r="O49" s="235">
        <f t="shared" si="22"/>
        <v>0</v>
      </c>
      <c r="P49" s="321">
        <f t="shared" si="23"/>
        <v>0</v>
      </c>
      <c r="Q49" s="235">
        <f t="shared" si="24"/>
        <v>0</v>
      </c>
      <c r="R49" s="322">
        <f t="shared" si="25"/>
        <v>0</v>
      </c>
      <c r="S49" s="181"/>
      <c r="T49" s="205"/>
    </row>
    <row r="50" spans="1:21" ht="13.8">
      <c r="A50" s="239">
        <f t="shared" si="26"/>
        <v>32</v>
      </c>
      <c r="B50" s="219" t="s">
        <v>53</v>
      </c>
      <c r="C50" s="218" t="s">
        <v>47</v>
      </c>
      <c r="D50" s="217">
        <v>825.66</v>
      </c>
      <c r="E50" s="217">
        <v>18.2</v>
      </c>
      <c r="F50" s="216">
        <f t="shared" si="18"/>
        <v>15027.01</v>
      </c>
      <c r="G50" s="320">
        <f t="shared" si="19"/>
        <v>0</v>
      </c>
      <c r="H50" s="238">
        <v>18.2</v>
      </c>
      <c r="I50" s="238">
        <f t="shared" si="20"/>
        <v>15027.01</v>
      </c>
      <c r="J50" s="237"/>
      <c r="K50" s="238">
        <v>0</v>
      </c>
      <c r="L50" s="321">
        <v>0</v>
      </c>
      <c r="M50" s="235"/>
      <c r="N50" s="235">
        <f t="shared" si="21"/>
        <v>0</v>
      </c>
      <c r="O50" s="235">
        <f t="shared" si="22"/>
        <v>0</v>
      </c>
      <c r="P50" s="321">
        <f t="shared" si="23"/>
        <v>0</v>
      </c>
      <c r="Q50" s="235">
        <f t="shared" si="24"/>
        <v>0</v>
      </c>
      <c r="R50" s="322">
        <f t="shared" si="25"/>
        <v>0</v>
      </c>
      <c r="S50" s="181"/>
      <c r="T50" s="205"/>
    </row>
    <row r="51" spans="1:21" ht="13.8">
      <c r="A51" s="239">
        <f t="shared" si="26"/>
        <v>33</v>
      </c>
      <c r="B51" s="219" t="s">
        <v>54</v>
      </c>
      <c r="C51" s="218" t="s">
        <v>47</v>
      </c>
      <c r="D51" s="217">
        <v>83.48</v>
      </c>
      <c r="E51" s="217">
        <v>47.3</v>
      </c>
      <c r="F51" s="216">
        <f t="shared" si="18"/>
        <v>3948.6</v>
      </c>
      <c r="G51" s="320">
        <f t="shared" si="19"/>
        <v>0</v>
      </c>
      <c r="H51" s="238">
        <v>47.3</v>
      </c>
      <c r="I51" s="238">
        <f t="shared" si="20"/>
        <v>3948.6</v>
      </c>
      <c r="J51" s="237"/>
      <c r="K51" s="238">
        <v>0</v>
      </c>
      <c r="L51" s="321">
        <v>0</v>
      </c>
      <c r="M51" s="235"/>
      <c r="N51" s="235">
        <f t="shared" si="21"/>
        <v>0</v>
      </c>
      <c r="O51" s="235">
        <f t="shared" si="22"/>
        <v>0</v>
      </c>
      <c r="P51" s="321">
        <f t="shared" si="23"/>
        <v>0</v>
      </c>
      <c r="Q51" s="235">
        <f t="shared" si="24"/>
        <v>0</v>
      </c>
      <c r="R51" s="322">
        <f t="shared" si="25"/>
        <v>0</v>
      </c>
      <c r="S51" s="181"/>
      <c r="T51" s="205"/>
    </row>
    <row r="52" spans="1:21" ht="13.8">
      <c r="A52" s="239">
        <f t="shared" si="26"/>
        <v>34</v>
      </c>
      <c r="B52" s="219" t="s">
        <v>55</v>
      </c>
      <c r="C52" s="218" t="s">
        <v>10</v>
      </c>
      <c r="D52" s="217">
        <v>150.47999999999999</v>
      </c>
      <c r="E52" s="217">
        <v>106.76</v>
      </c>
      <c r="F52" s="216">
        <f t="shared" si="18"/>
        <v>16065.24</v>
      </c>
      <c r="G52" s="320">
        <f t="shared" si="19"/>
        <v>34.57</v>
      </c>
      <c r="H52" s="238">
        <v>141.33000000000001</v>
      </c>
      <c r="I52" s="238">
        <f t="shared" si="20"/>
        <v>21267.34</v>
      </c>
      <c r="J52" s="237"/>
      <c r="K52" s="238">
        <v>0</v>
      </c>
      <c r="L52" s="321">
        <v>0</v>
      </c>
      <c r="M52" s="235"/>
      <c r="N52" s="235">
        <f t="shared" si="21"/>
        <v>0</v>
      </c>
      <c r="O52" s="235">
        <f t="shared" si="22"/>
        <v>0</v>
      </c>
      <c r="P52" s="321">
        <f t="shared" si="23"/>
        <v>0</v>
      </c>
      <c r="Q52" s="235">
        <f t="shared" si="24"/>
        <v>0</v>
      </c>
      <c r="R52" s="322">
        <f t="shared" si="25"/>
        <v>0</v>
      </c>
      <c r="S52" s="181"/>
      <c r="T52" s="205"/>
    </row>
    <row r="53" spans="1:21" s="244" customFormat="1" ht="13.8">
      <c r="A53" s="239">
        <f t="shared" si="26"/>
        <v>35</v>
      </c>
      <c r="B53" s="219" t="s">
        <v>44</v>
      </c>
      <c r="C53" s="218" t="s">
        <v>10</v>
      </c>
      <c r="D53" s="217">
        <v>638.48</v>
      </c>
      <c r="E53" s="217">
        <v>20.6</v>
      </c>
      <c r="F53" s="216">
        <f t="shared" si="18"/>
        <v>13152.69</v>
      </c>
      <c r="G53" s="320">
        <f t="shared" si="19"/>
        <v>2.64</v>
      </c>
      <c r="H53" s="238">
        <v>23.24</v>
      </c>
      <c r="I53" s="238">
        <f t="shared" si="20"/>
        <v>14838.28</v>
      </c>
      <c r="J53" s="237"/>
      <c r="K53" s="238">
        <v>0</v>
      </c>
      <c r="L53" s="321">
        <v>0</v>
      </c>
      <c r="M53" s="235"/>
      <c r="N53" s="235">
        <f t="shared" si="21"/>
        <v>0</v>
      </c>
      <c r="O53" s="235">
        <f t="shared" si="22"/>
        <v>0</v>
      </c>
      <c r="P53" s="321">
        <f t="shared" si="23"/>
        <v>0</v>
      </c>
      <c r="Q53" s="235">
        <f t="shared" si="24"/>
        <v>0</v>
      </c>
      <c r="R53" s="322">
        <f t="shared" si="25"/>
        <v>0</v>
      </c>
      <c r="S53" s="181"/>
      <c r="T53" s="205"/>
      <c r="U53" s="245"/>
    </row>
    <row r="54" spans="1:21" ht="13.8">
      <c r="A54" s="239">
        <f t="shared" si="26"/>
        <v>36</v>
      </c>
      <c r="B54" s="219" t="s">
        <v>56</v>
      </c>
      <c r="C54" s="218" t="s">
        <v>10</v>
      </c>
      <c r="D54" s="217">
        <v>573.79</v>
      </c>
      <c r="E54" s="217">
        <v>476</v>
      </c>
      <c r="F54" s="216">
        <f t="shared" si="18"/>
        <v>273124.03999999998</v>
      </c>
      <c r="G54" s="320">
        <f t="shared" si="19"/>
        <v>-476</v>
      </c>
      <c r="H54" s="238">
        <v>0</v>
      </c>
      <c r="I54" s="238">
        <f t="shared" si="20"/>
        <v>0</v>
      </c>
      <c r="J54" s="237"/>
      <c r="K54" s="238">
        <v>0</v>
      </c>
      <c r="L54" s="321">
        <v>0</v>
      </c>
      <c r="M54" s="235"/>
      <c r="N54" s="235">
        <f t="shared" si="21"/>
        <v>0</v>
      </c>
      <c r="O54" s="235">
        <f t="shared" si="22"/>
        <v>0</v>
      </c>
      <c r="P54" s="321">
        <f t="shared" si="23"/>
        <v>0</v>
      </c>
      <c r="Q54" s="235" t="str">
        <f t="shared" si="24"/>
        <v/>
      </c>
      <c r="R54" s="322" t="str">
        <f t="shared" si="25"/>
        <v/>
      </c>
      <c r="S54" s="181"/>
      <c r="T54" s="205"/>
    </row>
    <row r="55" spans="1:21" ht="13.8">
      <c r="A55" s="323">
        <f t="shared" si="26"/>
        <v>37</v>
      </c>
      <c r="B55" s="215" t="s">
        <v>57</v>
      </c>
      <c r="C55" s="214" t="s">
        <v>18</v>
      </c>
      <c r="D55" s="213">
        <v>4553.8599999999997</v>
      </c>
      <c r="E55" s="213">
        <v>1</v>
      </c>
      <c r="F55" s="243">
        <f t="shared" si="18"/>
        <v>4553.8599999999997</v>
      </c>
      <c r="G55" s="324">
        <f t="shared" si="19"/>
        <v>0</v>
      </c>
      <c r="H55" s="325">
        <v>1</v>
      </c>
      <c r="I55" s="325">
        <f t="shared" si="20"/>
        <v>4553.8599999999997</v>
      </c>
      <c r="J55" s="326"/>
      <c r="K55" s="325">
        <v>0</v>
      </c>
      <c r="L55" s="327">
        <v>0</v>
      </c>
      <c r="M55" s="328"/>
      <c r="N55" s="328">
        <f t="shared" si="21"/>
        <v>0</v>
      </c>
      <c r="O55" s="328">
        <f t="shared" si="22"/>
        <v>0</v>
      </c>
      <c r="P55" s="327">
        <f t="shared" si="23"/>
        <v>0</v>
      </c>
      <c r="Q55" s="328">
        <f t="shared" si="24"/>
        <v>0</v>
      </c>
      <c r="R55" s="329">
        <f t="shared" si="25"/>
        <v>0</v>
      </c>
      <c r="S55" s="181"/>
      <c r="T55" s="205"/>
    </row>
    <row r="56" spans="1:21" ht="13.8">
      <c r="A56" s="229"/>
      <c r="B56" s="228" t="s">
        <v>59</v>
      </c>
      <c r="C56" s="227"/>
      <c r="D56" s="242"/>
      <c r="E56" s="242"/>
      <c r="F56" s="225"/>
      <c r="G56" s="226"/>
      <c r="H56" s="225"/>
      <c r="I56" s="225"/>
      <c r="J56" s="224"/>
      <c r="K56" s="223"/>
      <c r="L56" s="221"/>
      <c r="M56" s="221"/>
      <c r="N56" s="221"/>
      <c r="O56" s="221"/>
      <c r="P56" s="222"/>
      <c r="Q56" s="221"/>
      <c r="R56" s="220"/>
      <c r="S56" s="181"/>
      <c r="T56" s="205"/>
    </row>
    <row r="57" spans="1:21" ht="13.8">
      <c r="A57" s="313">
        <v>38</v>
      </c>
      <c r="B57" s="241" t="s">
        <v>17</v>
      </c>
      <c r="C57" s="234" t="s">
        <v>18</v>
      </c>
      <c r="D57" s="233">
        <v>47860.38</v>
      </c>
      <c r="E57" s="233">
        <v>1</v>
      </c>
      <c r="F57" s="240">
        <f t="shared" ref="F57:F68" si="27">D57*E57</f>
        <v>47860.38</v>
      </c>
      <c r="G57" s="314">
        <f t="shared" ref="G57:G68" si="28">+H57-E57</f>
        <v>0</v>
      </c>
      <c r="H57" s="315">
        <v>1</v>
      </c>
      <c r="I57" s="315">
        <f t="shared" ref="I57:I68" si="29">+H57*D57</f>
        <v>47860.38</v>
      </c>
      <c r="J57" s="330"/>
      <c r="K57" s="315">
        <v>1</v>
      </c>
      <c r="L57" s="318">
        <v>47860.38</v>
      </c>
      <c r="M57" s="317"/>
      <c r="N57" s="317">
        <f t="shared" ref="N57:N68" si="30">ROUND(M57*D57,2)</f>
        <v>0</v>
      </c>
      <c r="O57" s="317">
        <f t="shared" ref="O57:O68" si="31">M57+K57</f>
        <v>1</v>
      </c>
      <c r="P57" s="318">
        <f t="shared" ref="P57:P68" si="32">L57+N57</f>
        <v>47860.38</v>
      </c>
      <c r="Q57" s="317">
        <f t="shared" ref="Q57:Q68" si="33">IF(ISERROR(N57/I57),"",ROUND(N57/I57*100,2))</f>
        <v>0</v>
      </c>
      <c r="R57" s="319">
        <f t="shared" ref="R57:R68" si="34">IF(ISERROR(P57/I57),"",ROUND(P57/I57*100,2))</f>
        <v>100</v>
      </c>
      <c r="S57" s="181"/>
      <c r="T57" s="205"/>
    </row>
    <row r="58" spans="1:21" ht="13.8">
      <c r="A58" s="239">
        <f t="shared" ref="A58:A68" si="35">A57+1</f>
        <v>39</v>
      </c>
      <c r="B58" s="219" t="s">
        <v>32</v>
      </c>
      <c r="C58" s="218" t="s">
        <v>18</v>
      </c>
      <c r="D58" s="217">
        <v>3848.37</v>
      </c>
      <c r="E58" s="217">
        <v>1</v>
      </c>
      <c r="F58" s="216">
        <f t="shared" si="27"/>
        <v>3848.37</v>
      </c>
      <c r="G58" s="320">
        <f t="shared" si="28"/>
        <v>0</v>
      </c>
      <c r="H58" s="238">
        <v>1</v>
      </c>
      <c r="I58" s="238">
        <f t="shared" si="29"/>
        <v>3848.37</v>
      </c>
      <c r="J58" s="238"/>
      <c r="K58" s="238">
        <v>1</v>
      </c>
      <c r="L58" s="321">
        <v>3848.37</v>
      </c>
      <c r="M58" s="235"/>
      <c r="N58" s="235">
        <f t="shared" si="30"/>
        <v>0</v>
      </c>
      <c r="O58" s="235">
        <f t="shared" si="31"/>
        <v>1</v>
      </c>
      <c r="P58" s="321">
        <f t="shared" si="32"/>
        <v>3848.37</v>
      </c>
      <c r="Q58" s="235">
        <f t="shared" si="33"/>
        <v>0</v>
      </c>
      <c r="R58" s="322">
        <f t="shared" si="34"/>
        <v>100</v>
      </c>
      <c r="S58" s="181"/>
      <c r="T58" s="205"/>
    </row>
    <row r="59" spans="1:21" ht="13.8">
      <c r="A59" s="239">
        <f t="shared" si="35"/>
        <v>40</v>
      </c>
      <c r="B59" s="219" t="s">
        <v>33</v>
      </c>
      <c r="C59" s="218" t="s">
        <v>10</v>
      </c>
      <c r="D59" s="217">
        <v>27.03</v>
      </c>
      <c r="E59" s="217">
        <v>421.23</v>
      </c>
      <c r="F59" s="216">
        <f t="shared" si="27"/>
        <v>11385.85</v>
      </c>
      <c r="G59" s="320">
        <f t="shared" si="28"/>
        <v>0</v>
      </c>
      <c r="H59" s="238">
        <v>421.23</v>
      </c>
      <c r="I59" s="238">
        <f t="shared" si="29"/>
        <v>11385.85</v>
      </c>
      <c r="J59" s="238"/>
      <c r="K59" s="238">
        <v>0</v>
      </c>
      <c r="L59" s="321">
        <v>0</v>
      </c>
      <c r="M59" s="235"/>
      <c r="N59" s="235">
        <f t="shared" si="30"/>
        <v>0</v>
      </c>
      <c r="O59" s="235">
        <f t="shared" si="31"/>
        <v>0</v>
      </c>
      <c r="P59" s="321">
        <f t="shared" si="32"/>
        <v>0</v>
      </c>
      <c r="Q59" s="235">
        <f t="shared" si="33"/>
        <v>0</v>
      </c>
      <c r="R59" s="322">
        <f t="shared" si="34"/>
        <v>0</v>
      </c>
      <c r="S59" s="181"/>
      <c r="T59" s="205"/>
    </row>
    <row r="60" spans="1:21" ht="13.8">
      <c r="A60" s="239">
        <f t="shared" si="35"/>
        <v>41</v>
      </c>
      <c r="B60" s="219" t="s">
        <v>60</v>
      </c>
      <c r="C60" s="218" t="s">
        <v>10</v>
      </c>
      <c r="D60" s="217">
        <v>651.46</v>
      </c>
      <c r="E60" s="217">
        <v>379.8</v>
      </c>
      <c r="F60" s="216">
        <f t="shared" si="27"/>
        <v>247424.51</v>
      </c>
      <c r="G60" s="320">
        <f t="shared" si="28"/>
        <v>0</v>
      </c>
      <c r="H60" s="238">
        <v>379.8</v>
      </c>
      <c r="I60" s="238">
        <f t="shared" si="29"/>
        <v>247424.51</v>
      </c>
      <c r="J60" s="238"/>
      <c r="K60" s="238">
        <v>0</v>
      </c>
      <c r="L60" s="321">
        <v>0</v>
      </c>
      <c r="M60" s="235"/>
      <c r="N60" s="235">
        <f t="shared" si="30"/>
        <v>0</v>
      </c>
      <c r="O60" s="235">
        <f t="shared" si="31"/>
        <v>0</v>
      </c>
      <c r="P60" s="321">
        <f t="shared" si="32"/>
        <v>0</v>
      </c>
      <c r="Q60" s="235">
        <f t="shared" si="33"/>
        <v>0</v>
      </c>
      <c r="R60" s="322">
        <f t="shared" si="34"/>
        <v>0</v>
      </c>
      <c r="S60" s="181"/>
      <c r="T60" s="205"/>
    </row>
    <row r="61" spans="1:21" ht="13.8">
      <c r="A61" s="239">
        <f t="shared" si="35"/>
        <v>42</v>
      </c>
      <c r="B61" s="3" t="s">
        <v>35</v>
      </c>
      <c r="C61" s="10" t="s">
        <v>10</v>
      </c>
      <c r="D61" s="11">
        <v>1801.53</v>
      </c>
      <c r="E61" s="12">
        <v>95.41</v>
      </c>
      <c r="F61" s="216">
        <f t="shared" si="27"/>
        <v>171883.98</v>
      </c>
      <c r="G61" s="320">
        <f t="shared" si="28"/>
        <v>0</v>
      </c>
      <c r="H61" s="238">
        <v>95.41</v>
      </c>
      <c r="I61" s="238">
        <f t="shared" si="29"/>
        <v>171883.98</v>
      </c>
      <c r="J61" s="238"/>
      <c r="K61" s="238">
        <v>0</v>
      </c>
      <c r="L61" s="321">
        <v>0</v>
      </c>
      <c r="M61" s="235"/>
      <c r="N61" s="235">
        <f t="shared" si="30"/>
        <v>0</v>
      </c>
      <c r="O61" s="235">
        <f t="shared" si="31"/>
        <v>0</v>
      </c>
      <c r="P61" s="321">
        <f t="shared" si="32"/>
        <v>0</v>
      </c>
      <c r="Q61" s="235">
        <f t="shared" si="33"/>
        <v>0</v>
      </c>
      <c r="R61" s="322">
        <f t="shared" si="34"/>
        <v>0</v>
      </c>
      <c r="S61" s="181"/>
      <c r="T61" s="205"/>
    </row>
    <row r="62" spans="1:21" ht="13.8">
      <c r="A62" s="239">
        <f t="shared" si="35"/>
        <v>43</v>
      </c>
      <c r="B62" s="219" t="s">
        <v>36</v>
      </c>
      <c r="C62" s="218" t="s">
        <v>46</v>
      </c>
      <c r="D62" s="217">
        <v>15.35</v>
      </c>
      <c r="E62" s="217">
        <v>7046.94</v>
      </c>
      <c r="F62" s="216">
        <f t="shared" si="27"/>
        <v>108170.53</v>
      </c>
      <c r="G62" s="320">
        <f t="shared" si="28"/>
        <v>0</v>
      </c>
      <c r="H62" s="238">
        <v>7046.94</v>
      </c>
      <c r="I62" s="238">
        <f t="shared" si="29"/>
        <v>108170.53</v>
      </c>
      <c r="J62" s="238"/>
      <c r="K62" s="238">
        <v>0</v>
      </c>
      <c r="L62" s="321">
        <v>0</v>
      </c>
      <c r="M62" s="235"/>
      <c r="N62" s="235">
        <f t="shared" si="30"/>
        <v>0</v>
      </c>
      <c r="O62" s="235">
        <f t="shared" si="31"/>
        <v>0</v>
      </c>
      <c r="P62" s="321">
        <f t="shared" si="32"/>
        <v>0</v>
      </c>
      <c r="Q62" s="235">
        <f t="shared" si="33"/>
        <v>0</v>
      </c>
      <c r="R62" s="322">
        <f t="shared" si="34"/>
        <v>0</v>
      </c>
      <c r="S62" s="181"/>
      <c r="T62" s="205"/>
    </row>
    <row r="63" spans="1:21" ht="13.8">
      <c r="A63" s="239">
        <f t="shared" si="35"/>
        <v>44</v>
      </c>
      <c r="B63" s="219" t="s">
        <v>50</v>
      </c>
      <c r="C63" s="218" t="s">
        <v>47</v>
      </c>
      <c r="D63" s="217">
        <v>3139.57</v>
      </c>
      <c r="E63" s="217">
        <v>61.8</v>
      </c>
      <c r="F63" s="216">
        <f t="shared" si="27"/>
        <v>194025.43</v>
      </c>
      <c r="G63" s="320">
        <f t="shared" si="28"/>
        <v>0</v>
      </c>
      <c r="H63" s="238">
        <v>61.8</v>
      </c>
      <c r="I63" s="238">
        <f t="shared" si="29"/>
        <v>194025.43</v>
      </c>
      <c r="J63" s="238"/>
      <c r="K63" s="238">
        <v>0</v>
      </c>
      <c r="L63" s="321">
        <v>0</v>
      </c>
      <c r="M63" s="235"/>
      <c r="N63" s="235">
        <f t="shared" si="30"/>
        <v>0</v>
      </c>
      <c r="O63" s="235">
        <f t="shared" si="31"/>
        <v>0</v>
      </c>
      <c r="P63" s="321">
        <f t="shared" si="32"/>
        <v>0</v>
      </c>
      <c r="Q63" s="235">
        <f t="shared" si="33"/>
        <v>0</v>
      </c>
      <c r="R63" s="322">
        <f t="shared" si="34"/>
        <v>0</v>
      </c>
      <c r="S63" s="181"/>
      <c r="T63" s="205"/>
    </row>
    <row r="64" spans="1:21" ht="13.8">
      <c r="A64" s="239">
        <f t="shared" si="35"/>
        <v>45</v>
      </c>
      <c r="B64" s="219" t="s">
        <v>51</v>
      </c>
      <c r="C64" s="218" t="s">
        <v>58</v>
      </c>
      <c r="D64" s="217">
        <v>403.4</v>
      </c>
      <c r="E64" s="217">
        <v>26.25</v>
      </c>
      <c r="F64" s="216">
        <f t="shared" si="27"/>
        <v>10589.25</v>
      </c>
      <c r="G64" s="320">
        <f t="shared" si="28"/>
        <v>0</v>
      </c>
      <c r="H64" s="238">
        <v>26.25</v>
      </c>
      <c r="I64" s="238">
        <f t="shared" si="29"/>
        <v>10589.25</v>
      </c>
      <c r="J64" s="238"/>
      <c r="K64" s="238">
        <v>0</v>
      </c>
      <c r="L64" s="321">
        <v>0</v>
      </c>
      <c r="M64" s="235"/>
      <c r="N64" s="235">
        <f t="shared" si="30"/>
        <v>0</v>
      </c>
      <c r="O64" s="235">
        <f t="shared" si="31"/>
        <v>0</v>
      </c>
      <c r="P64" s="321">
        <f t="shared" si="32"/>
        <v>0</v>
      </c>
      <c r="Q64" s="235">
        <f t="shared" si="33"/>
        <v>0</v>
      </c>
      <c r="R64" s="322">
        <f t="shared" si="34"/>
        <v>0</v>
      </c>
      <c r="S64" s="181"/>
      <c r="T64" s="205"/>
    </row>
    <row r="65" spans="1:20" ht="13.8">
      <c r="A65" s="239">
        <f t="shared" si="35"/>
        <v>46</v>
      </c>
      <c r="B65" s="219" t="s">
        <v>52</v>
      </c>
      <c r="C65" s="218" t="s">
        <v>18</v>
      </c>
      <c r="D65" s="217">
        <v>45986.77</v>
      </c>
      <c r="E65" s="217">
        <v>1</v>
      </c>
      <c r="F65" s="216">
        <f t="shared" si="27"/>
        <v>45986.77</v>
      </c>
      <c r="G65" s="320">
        <f t="shared" si="28"/>
        <v>0</v>
      </c>
      <c r="H65" s="238">
        <v>1</v>
      </c>
      <c r="I65" s="238">
        <f t="shared" si="29"/>
        <v>45986.77</v>
      </c>
      <c r="J65" s="238"/>
      <c r="K65" s="238">
        <v>0</v>
      </c>
      <c r="L65" s="321">
        <v>0</v>
      </c>
      <c r="M65" s="235"/>
      <c r="N65" s="235">
        <f t="shared" si="30"/>
        <v>0</v>
      </c>
      <c r="O65" s="235">
        <f t="shared" si="31"/>
        <v>0</v>
      </c>
      <c r="P65" s="321">
        <f t="shared" si="32"/>
        <v>0</v>
      </c>
      <c r="Q65" s="235">
        <f t="shared" si="33"/>
        <v>0</v>
      </c>
      <c r="R65" s="322">
        <f t="shared" si="34"/>
        <v>0</v>
      </c>
      <c r="S65" s="181"/>
      <c r="T65" s="205"/>
    </row>
    <row r="66" spans="1:20" ht="13.8">
      <c r="A66" s="239">
        <f t="shared" si="35"/>
        <v>47</v>
      </c>
      <c r="B66" s="219" t="s">
        <v>53</v>
      </c>
      <c r="C66" s="218" t="s">
        <v>47</v>
      </c>
      <c r="D66" s="217">
        <v>825.66</v>
      </c>
      <c r="E66" s="217">
        <v>14.6</v>
      </c>
      <c r="F66" s="216">
        <f t="shared" si="27"/>
        <v>12054.64</v>
      </c>
      <c r="G66" s="320">
        <f t="shared" si="28"/>
        <v>0</v>
      </c>
      <c r="H66" s="238">
        <v>14.6</v>
      </c>
      <c r="I66" s="238">
        <f t="shared" si="29"/>
        <v>12054.64</v>
      </c>
      <c r="J66" s="238"/>
      <c r="K66" s="238">
        <v>0</v>
      </c>
      <c r="L66" s="321">
        <v>0</v>
      </c>
      <c r="M66" s="235"/>
      <c r="N66" s="235">
        <f t="shared" si="30"/>
        <v>0</v>
      </c>
      <c r="O66" s="235">
        <f t="shared" si="31"/>
        <v>0</v>
      </c>
      <c r="P66" s="321">
        <f t="shared" si="32"/>
        <v>0</v>
      </c>
      <c r="Q66" s="235">
        <f t="shared" si="33"/>
        <v>0</v>
      </c>
      <c r="R66" s="322">
        <f t="shared" si="34"/>
        <v>0</v>
      </c>
      <c r="S66" s="181"/>
      <c r="T66" s="205"/>
    </row>
    <row r="67" spans="1:20" ht="13.8">
      <c r="A67" s="239">
        <f t="shared" si="35"/>
        <v>48</v>
      </c>
      <c r="B67" s="219" t="s">
        <v>54</v>
      </c>
      <c r="C67" s="218" t="s">
        <v>47</v>
      </c>
      <c r="D67" s="217">
        <v>83.48</v>
      </c>
      <c r="E67" s="217">
        <v>38.799999999999997</v>
      </c>
      <c r="F67" s="216">
        <f t="shared" si="27"/>
        <v>3239.02</v>
      </c>
      <c r="G67" s="320">
        <f t="shared" si="28"/>
        <v>0</v>
      </c>
      <c r="H67" s="238">
        <v>38.799999999999997</v>
      </c>
      <c r="I67" s="238">
        <f t="shared" si="29"/>
        <v>3239.02</v>
      </c>
      <c r="J67" s="238"/>
      <c r="K67" s="238">
        <v>0</v>
      </c>
      <c r="L67" s="321">
        <v>0</v>
      </c>
      <c r="M67" s="235"/>
      <c r="N67" s="235">
        <f t="shared" si="30"/>
        <v>0</v>
      </c>
      <c r="O67" s="235">
        <f t="shared" si="31"/>
        <v>0</v>
      </c>
      <c r="P67" s="321">
        <f t="shared" si="32"/>
        <v>0</v>
      </c>
      <c r="Q67" s="235">
        <f t="shared" si="33"/>
        <v>0</v>
      </c>
      <c r="R67" s="322">
        <f t="shared" si="34"/>
        <v>0</v>
      </c>
      <c r="S67" s="181"/>
      <c r="T67" s="205"/>
    </row>
    <row r="68" spans="1:20" ht="13.8">
      <c r="A68" s="323">
        <f t="shared" si="35"/>
        <v>49</v>
      </c>
      <c r="B68" s="215" t="s">
        <v>57</v>
      </c>
      <c r="C68" s="214" t="s">
        <v>18</v>
      </c>
      <c r="D68" s="213">
        <v>4553.8599999999997</v>
      </c>
      <c r="E68" s="213">
        <v>1</v>
      </c>
      <c r="F68" s="212">
        <f t="shared" si="27"/>
        <v>4553.8599999999997</v>
      </c>
      <c r="G68" s="324">
        <f t="shared" si="28"/>
        <v>0</v>
      </c>
      <c r="H68" s="325">
        <v>1</v>
      </c>
      <c r="I68" s="325">
        <f t="shared" si="29"/>
        <v>4553.8599999999997</v>
      </c>
      <c r="J68" s="326"/>
      <c r="K68" s="331">
        <v>0</v>
      </c>
      <c r="L68" s="321">
        <v>0</v>
      </c>
      <c r="M68" s="328"/>
      <c r="N68" s="328">
        <f t="shared" si="30"/>
        <v>0</v>
      </c>
      <c r="O68" s="328">
        <f t="shared" si="31"/>
        <v>0</v>
      </c>
      <c r="P68" s="327">
        <f t="shared" si="32"/>
        <v>0</v>
      </c>
      <c r="Q68" s="328">
        <f t="shared" si="33"/>
        <v>0</v>
      </c>
      <c r="R68" s="329">
        <f t="shared" si="34"/>
        <v>0</v>
      </c>
      <c r="S68" s="181"/>
      <c r="T68" s="205"/>
    </row>
    <row r="69" spans="1:20" ht="13.8">
      <c r="A69" s="229"/>
      <c r="B69" s="228" t="s">
        <v>61</v>
      </c>
      <c r="C69" s="227"/>
      <c r="D69" s="226"/>
      <c r="E69" s="226"/>
      <c r="F69" s="225"/>
      <c r="G69" s="226"/>
      <c r="H69" s="225"/>
      <c r="I69" s="225"/>
      <c r="J69" s="224"/>
      <c r="K69" s="223"/>
      <c r="L69" s="221"/>
      <c r="M69" s="221"/>
      <c r="N69" s="221"/>
      <c r="O69" s="221"/>
      <c r="P69" s="222"/>
      <c r="Q69" s="221"/>
      <c r="R69" s="220"/>
      <c r="S69" s="181"/>
      <c r="T69" s="205"/>
    </row>
    <row r="70" spans="1:20" ht="13.8">
      <c r="A70" s="313">
        <v>50</v>
      </c>
      <c r="B70" s="7" t="s">
        <v>62</v>
      </c>
      <c r="C70" s="234" t="s">
        <v>67</v>
      </c>
      <c r="D70" s="233">
        <v>1145.2</v>
      </c>
      <c r="E70" s="233">
        <v>15</v>
      </c>
      <c r="F70" s="232">
        <f>D70*E70</f>
        <v>17178</v>
      </c>
      <c r="G70" s="314">
        <f>+H70-E70</f>
        <v>0</v>
      </c>
      <c r="H70" s="315">
        <v>15</v>
      </c>
      <c r="I70" s="315">
        <f>+H70*D70</f>
        <v>17178</v>
      </c>
      <c r="J70" s="330"/>
      <c r="K70" s="332">
        <v>0</v>
      </c>
      <c r="L70" s="318">
        <v>0</v>
      </c>
      <c r="M70" s="317"/>
      <c r="N70" s="317">
        <f t="shared" ref="N70:N74" si="36">ROUND(M70*D70,2)</f>
        <v>0</v>
      </c>
      <c r="O70" s="317">
        <f t="shared" ref="O70:O74" si="37">M70+K70</f>
        <v>0</v>
      </c>
      <c r="P70" s="318">
        <f t="shared" ref="P70:P74" si="38">L70+N70</f>
        <v>0</v>
      </c>
      <c r="Q70" s="317">
        <f>IF(ISERROR(N70/I70),"",ROUND(N70/I70*100,2))</f>
        <v>0</v>
      </c>
      <c r="R70" s="319">
        <f>IF(ISERROR(P70/I70),"",ROUND(P70/I70*100,2))</f>
        <v>0</v>
      </c>
      <c r="S70" s="181"/>
      <c r="T70" s="205"/>
    </row>
    <row r="71" spans="1:20" ht="13.8">
      <c r="A71" s="239">
        <f>1+A70</f>
        <v>51</v>
      </c>
      <c r="B71" s="8" t="s">
        <v>63</v>
      </c>
      <c r="C71" s="218" t="s">
        <v>67</v>
      </c>
      <c r="D71" s="217">
        <v>977.64</v>
      </c>
      <c r="E71" s="217">
        <v>33</v>
      </c>
      <c r="F71" s="231">
        <f>D71*E71</f>
        <v>32262.12</v>
      </c>
      <c r="G71" s="320">
        <f>+H71-E71</f>
        <v>0</v>
      </c>
      <c r="H71" s="238">
        <v>33</v>
      </c>
      <c r="I71" s="238">
        <f>+H71*D71</f>
        <v>32262.12</v>
      </c>
      <c r="J71" s="237"/>
      <c r="K71" s="236">
        <v>0</v>
      </c>
      <c r="L71" s="321">
        <v>0</v>
      </c>
      <c r="M71" s="235"/>
      <c r="N71" s="235">
        <f t="shared" si="36"/>
        <v>0</v>
      </c>
      <c r="O71" s="235">
        <f t="shared" si="37"/>
        <v>0</v>
      </c>
      <c r="P71" s="321">
        <f t="shared" si="38"/>
        <v>0</v>
      </c>
      <c r="Q71" s="235">
        <f>IF(ISERROR(N71/I71),"",ROUND(N71/I71*100,2))</f>
        <v>0</v>
      </c>
      <c r="R71" s="322">
        <f>IF(ISERROR(P71/I71),"",ROUND(P71/I71*100,2))</f>
        <v>0</v>
      </c>
      <c r="S71" s="181"/>
      <c r="T71" s="205"/>
    </row>
    <row r="72" spans="1:20" ht="13.8">
      <c r="A72" s="239">
        <f>1+A71</f>
        <v>52</v>
      </c>
      <c r="B72" s="8" t="s">
        <v>64</v>
      </c>
      <c r="C72" s="218" t="s">
        <v>67</v>
      </c>
      <c r="D72" s="217">
        <v>1497.96</v>
      </c>
      <c r="E72" s="217">
        <v>1</v>
      </c>
      <c r="F72" s="231">
        <f>D72*E72</f>
        <v>1497.96</v>
      </c>
      <c r="G72" s="320">
        <f>+H72-E72</f>
        <v>0</v>
      </c>
      <c r="H72" s="238">
        <v>1</v>
      </c>
      <c r="I72" s="238">
        <f>+H72*D72</f>
        <v>1497.96</v>
      </c>
      <c r="J72" s="237"/>
      <c r="K72" s="236">
        <v>0</v>
      </c>
      <c r="L72" s="321">
        <v>0</v>
      </c>
      <c r="M72" s="235"/>
      <c r="N72" s="235">
        <f t="shared" si="36"/>
        <v>0</v>
      </c>
      <c r="O72" s="235">
        <f t="shared" si="37"/>
        <v>0</v>
      </c>
      <c r="P72" s="321">
        <f t="shared" si="38"/>
        <v>0</v>
      </c>
      <c r="Q72" s="235">
        <f>IF(ISERROR(N72/I72),"",ROUND(N72/I72*100,2))</f>
        <v>0</v>
      </c>
      <c r="R72" s="322">
        <f>IF(ISERROR(P72/I72),"",ROUND(P72/I72*100,2))</f>
        <v>0</v>
      </c>
      <c r="S72" s="181"/>
      <c r="T72" s="205"/>
    </row>
    <row r="73" spans="1:20" ht="13.8">
      <c r="A73" s="239">
        <f>1+A72</f>
        <v>53</v>
      </c>
      <c r="B73" s="8" t="s">
        <v>65</v>
      </c>
      <c r="C73" s="218" t="s">
        <v>67</v>
      </c>
      <c r="D73" s="217">
        <v>276.64</v>
      </c>
      <c r="E73" s="217">
        <v>26</v>
      </c>
      <c r="F73" s="231">
        <f>D73*E73</f>
        <v>7192.64</v>
      </c>
      <c r="G73" s="320">
        <f>+H73-E73</f>
        <v>0</v>
      </c>
      <c r="H73" s="238">
        <v>26</v>
      </c>
      <c r="I73" s="238">
        <f>+H73*D73</f>
        <v>7192.64</v>
      </c>
      <c r="J73" s="237"/>
      <c r="K73" s="236">
        <v>0</v>
      </c>
      <c r="L73" s="321">
        <v>0</v>
      </c>
      <c r="M73" s="235"/>
      <c r="N73" s="235">
        <f t="shared" si="36"/>
        <v>0</v>
      </c>
      <c r="O73" s="235">
        <f t="shared" si="37"/>
        <v>0</v>
      </c>
      <c r="P73" s="321">
        <f t="shared" si="38"/>
        <v>0</v>
      </c>
      <c r="Q73" s="235">
        <f>IF(ISERROR(N73/I73),"",ROUND(N73/I73*100,2))</f>
        <v>0</v>
      </c>
      <c r="R73" s="322">
        <f>IF(ISERROR(P73/I73),"",ROUND(P73/I73*100,2))</f>
        <v>0</v>
      </c>
      <c r="S73" s="181"/>
      <c r="T73" s="205"/>
    </row>
    <row r="74" spans="1:20" ht="13.8">
      <c r="A74" s="323">
        <f>1+A73</f>
        <v>54</v>
      </c>
      <c r="B74" s="9" t="s">
        <v>66</v>
      </c>
      <c r="C74" s="214" t="s">
        <v>67</v>
      </c>
      <c r="D74" s="213">
        <v>235.45</v>
      </c>
      <c r="E74" s="213">
        <v>98</v>
      </c>
      <c r="F74" s="230">
        <f>D74*E74</f>
        <v>23074.1</v>
      </c>
      <c r="G74" s="324">
        <f>+H74-E74</f>
        <v>0</v>
      </c>
      <c r="H74" s="325">
        <v>98</v>
      </c>
      <c r="I74" s="325">
        <f>+H74*D74</f>
        <v>23074.1</v>
      </c>
      <c r="J74" s="326"/>
      <c r="K74" s="331">
        <v>0</v>
      </c>
      <c r="L74" s="327">
        <v>0</v>
      </c>
      <c r="M74" s="328"/>
      <c r="N74" s="328">
        <f t="shared" si="36"/>
        <v>0</v>
      </c>
      <c r="O74" s="328">
        <f t="shared" si="37"/>
        <v>0</v>
      </c>
      <c r="P74" s="327">
        <f t="shared" si="38"/>
        <v>0</v>
      </c>
      <c r="Q74" s="328">
        <f>IF(ISERROR(N74/I74),"",ROUND(N74/I74*100,2))</f>
        <v>0</v>
      </c>
      <c r="R74" s="329">
        <f>IF(ISERROR(P74/I74),"",ROUND(P74/I74*100,2))</f>
        <v>0</v>
      </c>
      <c r="S74" s="181"/>
      <c r="T74" s="205"/>
    </row>
    <row r="75" spans="1:20" ht="13.8">
      <c r="A75" s="229"/>
      <c r="B75" s="228" t="s">
        <v>68</v>
      </c>
      <c r="C75" s="227"/>
      <c r="D75" s="226"/>
      <c r="E75" s="226"/>
      <c r="F75" s="225"/>
      <c r="G75" s="226"/>
      <c r="H75" s="225"/>
      <c r="I75" s="225"/>
      <c r="J75" s="224"/>
      <c r="K75" s="223"/>
      <c r="L75" s="221"/>
      <c r="M75" s="221"/>
      <c r="N75" s="221"/>
      <c r="O75" s="221"/>
      <c r="P75" s="222"/>
      <c r="Q75" s="221"/>
      <c r="R75" s="220"/>
      <c r="S75" s="181"/>
      <c r="T75" s="205"/>
    </row>
    <row r="76" spans="1:20" ht="13.8">
      <c r="A76" s="313">
        <v>65</v>
      </c>
      <c r="B76" s="241" t="s">
        <v>69</v>
      </c>
      <c r="C76" s="234" t="s">
        <v>75</v>
      </c>
      <c r="D76" s="233">
        <v>412.06</v>
      </c>
      <c r="E76" s="233">
        <v>10</v>
      </c>
      <c r="F76" s="240">
        <f t="shared" ref="F76:F81" si="39">D76*E76</f>
        <v>4120.6000000000004</v>
      </c>
      <c r="G76" s="314">
        <f t="shared" ref="G76:G81" si="40">+H76-E76</f>
        <v>0</v>
      </c>
      <c r="H76" s="315">
        <v>10</v>
      </c>
      <c r="I76" s="315">
        <f t="shared" ref="I76:I81" si="41">+H76*D76</f>
        <v>4120.6000000000004</v>
      </c>
      <c r="J76" s="330"/>
      <c r="K76" s="332">
        <v>0</v>
      </c>
      <c r="L76" s="317">
        <v>0</v>
      </c>
      <c r="M76" s="317"/>
      <c r="N76" s="317">
        <f t="shared" ref="N76:N81" si="42">ROUND(M76*D76,2)</f>
        <v>0</v>
      </c>
      <c r="O76" s="317">
        <f t="shared" ref="O76:O81" si="43">M76+K76</f>
        <v>0</v>
      </c>
      <c r="P76" s="318">
        <f t="shared" ref="P76:P81" si="44">L76+N76</f>
        <v>0</v>
      </c>
      <c r="Q76" s="317">
        <f t="shared" ref="Q76:Q81" si="45">IF(ISERROR(N76/I76),"",ROUND(N76/I76*100,2))</f>
        <v>0</v>
      </c>
      <c r="R76" s="319">
        <f t="shared" ref="R76:R81" si="46">IF(ISERROR(P76/I76),"",ROUND(P76/I76*100,2))</f>
        <v>0</v>
      </c>
      <c r="S76" s="181"/>
      <c r="T76" s="205"/>
    </row>
    <row r="77" spans="1:20" ht="13.8">
      <c r="A77" s="239">
        <v>69</v>
      </c>
      <c r="B77" s="219" t="s">
        <v>70</v>
      </c>
      <c r="C77" s="218" t="s">
        <v>10</v>
      </c>
      <c r="D77" s="217">
        <v>337.66</v>
      </c>
      <c r="E77" s="217">
        <v>460.72</v>
      </c>
      <c r="F77" s="216">
        <f t="shared" si="39"/>
        <v>155566.72</v>
      </c>
      <c r="G77" s="320">
        <f t="shared" si="40"/>
        <v>189.38</v>
      </c>
      <c r="H77" s="238">
        <v>650.1</v>
      </c>
      <c r="I77" s="238">
        <f t="shared" si="41"/>
        <v>219512.77</v>
      </c>
      <c r="J77" s="237"/>
      <c r="K77" s="238">
        <v>460.72</v>
      </c>
      <c r="L77" s="321">
        <v>155566.72</v>
      </c>
      <c r="M77" s="235"/>
      <c r="N77" s="235">
        <f t="shared" si="42"/>
        <v>0</v>
      </c>
      <c r="O77" s="235">
        <f t="shared" si="43"/>
        <v>460.72</v>
      </c>
      <c r="P77" s="321">
        <f t="shared" si="44"/>
        <v>155566.72</v>
      </c>
      <c r="Q77" s="235">
        <f t="shared" si="45"/>
        <v>0</v>
      </c>
      <c r="R77" s="322">
        <f t="shared" si="46"/>
        <v>70.87</v>
      </c>
      <c r="S77" s="181"/>
      <c r="T77" s="205"/>
    </row>
    <row r="78" spans="1:20" ht="13.8">
      <c r="A78" s="239">
        <f>1+A77</f>
        <v>70</v>
      </c>
      <c r="B78" s="219" t="s">
        <v>71</v>
      </c>
      <c r="C78" s="218" t="s">
        <v>18</v>
      </c>
      <c r="D78" s="217">
        <v>11160.89</v>
      </c>
      <c r="E78" s="217">
        <v>0.2</v>
      </c>
      <c r="F78" s="216">
        <f t="shared" si="39"/>
        <v>2232.1799999999998</v>
      </c>
      <c r="G78" s="320">
        <f t="shared" si="40"/>
        <v>0</v>
      </c>
      <c r="H78" s="238">
        <v>0.2</v>
      </c>
      <c r="I78" s="238">
        <f t="shared" si="41"/>
        <v>2232.1799999999998</v>
      </c>
      <c r="J78" s="237"/>
      <c r="K78" s="236">
        <v>0</v>
      </c>
      <c r="L78" s="235">
        <v>0</v>
      </c>
      <c r="M78" s="235"/>
      <c r="N78" s="235">
        <f t="shared" si="42"/>
        <v>0</v>
      </c>
      <c r="O78" s="235">
        <f t="shared" si="43"/>
        <v>0</v>
      </c>
      <c r="P78" s="321">
        <f t="shared" si="44"/>
        <v>0</v>
      </c>
      <c r="Q78" s="235">
        <f t="shared" si="45"/>
        <v>0</v>
      </c>
      <c r="R78" s="322">
        <f t="shared" si="46"/>
        <v>0</v>
      </c>
      <c r="S78" s="181"/>
      <c r="T78" s="205"/>
    </row>
    <row r="79" spans="1:20" ht="13.8">
      <c r="A79" s="239">
        <f>1+A78</f>
        <v>71</v>
      </c>
      <c r="B79" s="219" t="s">
        <v>72</v>
      </c>
      <c r="C79" s="218" t="s">
        <v>25</v>
      </c>
      <c r="D79" s="217">
        <v>3424.36</v>
      </c>
      <c r="E79" s="217">
        <v>5.57</v>
      </c>
      <c r="F79" s="216">
        <f t="shared" si="39"/>
        <v>19073.689999999999</v>
      </c>
      <c r="G79" s="320">
        <f t="shared" si="40"/>
        <v>0</v>
      </c>
      <c r="H79" s="238">
        <v>5.57</v>
      </c>
      <c r="I79" s="238">
        <f t="shared" si="41"/>
        <v>19073.689999999999</v>
      </c>
      <c r="J79" s="237"/>
      <c r="K79" s="236">
        <v>0</v>
      </c>
      <c r="L79" s="235">
        <v>0</v>
      </c>
      <c r="M79" s="235"/>
      <c r="N79" s="235">
        <f t="shared" si="42"/>
        <v>0</v>
      </c>
      <c r="O79" s="235">
        <f t="shared" si="43"/>
        <v>0</v>
      </c>
      <c r="P79" s="321">
        <f t="shared" si="44"/>
        <v>0</v>
      </c>
      <c r="Q79" s="235">
        <f t="shared" si="45"/>
        <v>0</v>
      </c>
      <c r="R79" s="322">
        <f t="shared" si="46"/>
        <v>0</v>
      </c>
      <c r="S79" s="181"/>
      <c r="T79" s="205"/>
    </row>
    <row r="80" spans="1:20" ht="13.8">
      <c r="A80" s="239">
        <f>1+A79</f>
        <v>72</v>
      </c>
      <c r="B80" s="219" t="s">
        <v>73</v>
      </c>
      <c r="C80" s="218" t="s">
        <v>25</v>
      </c>
      <c r="D80" s="217">
        <v>5452.74</v>
      </c>
      <c r="E80" s="217">
        <v>4.78</v>
      </c>
      <c r="F80" s="216">
        <f t="shared" si="39"/>
        <v>26064.1</v>
      </c>
      <c r="G80" s="320">
        <f t="shared" si="40"/>
        <v>0</v>
      </c>
      <c r="H80" s="238">
        <v>4.78</v>
      </c>
      <c r="I80" s="238">
        <f t="shared" si="41"/>
        <v>26064.1</v>
      </c>
      <c r="J80" s="237"/>
      <c r="K80" s="236">
        <v>0</v>
      </c>
      <c r="L80" s="235">
        <v>0</v>
      </c>
      <c r="M80" s="235"/>
      <c r="N80" s="235">
        <f t="shared" si="42"/>
        <v>0</v>
      </c>
      <c r="O80" s="235">
        <f t="shared" si="43"/>
        <v>0</v>
      </c>
      <c r="P80" s="321">
        <f t="shared" si="44"/>
        <v>0</v>
      </c>
      <c r="Q80" s="235">
        <f t="shared" si="45"/>
        <v>0</v>
      </c>
      <c r="R80" s="322">
        <f t="shared" si="46"/>
        <v>0</v>
      </c>
      <c r="S80" s="181"/>
      <c r="T80" s="205"/>
    </row>
    <row r="81" spans="1:21" ht="13.8">
      <c r="A81" s="323">
        <v>74</v>
      </c>
      <c r="B81" s="215" t="s">
        <v>74</v>
      </c>
      <c r="C81" s="214" t="s">
        <v>18</v>
      </c>
      <c r="D81" s="213">
        <v>6376.18</v>
      </c>
      <c r="E81" s="213">
        <v>0.4</v>
      </c>
      <c r="F81" s="212">
        <f t="shared" si="39"/>
        <v>2550.4699999999998</v>
      </c>
      <c r="G81" s="324">
        <f t="shared" si="40"/>
        <v>0</v>
      </c>
      <c r="H81" s="325">
        <v>0.4</v>
      </c>
      <c r="I81" s="325">
        <f t="shared" si="41"/>
        <v>2550.4699999999998</v>
      </c>
      <c r="J81" s="326"/>
      <c r="K81" s="328">
        <v>0</v>
      </c>
      <c r="L81" s="328">
        <v>0</v>
      </c>
      <c r="M81" s="328"/>
      <c r="N81" s="328">
        <f t="shared" si="42"/>
        <v>0</v>
      </c>
      <c r="O81" s="328">
        <f t="shared" si="43"/>
        <v>0</v>
      </c>
      <c r="P81" s="327">
        <f t="shared" si="44"/>
        <v>0</v>
      </c>
      <c r="Q81" s="328">
        <f t="shared" si="45"/>
        <v>0</v>
      </c>
      <c r="R81" s="329">
        <f t="shared" si="46"/>
        <v>0</v>
      </c>
      <c r="S81" s="181"/>
      <c r="T81" s="205"/>
    </row>
    <row r="82" spans="1:21" ht="13.8">
      <c r="A82" s="333"/>
      <c r="B82" s="259"/>
      <c r="C82" s="227"/>
      <c r="D82" s="226"/>
      <c r="E82" s="334"/>
      <c r="F82" s="225"/>
      <c r="G82" s="226"/>
      <c r="H82" s="225"/>
      <c r="I82" s="225"/>
      <c r="J82" s="226"/>
      <c r="K82" s="221"/>
      <c r="L82" s="221"/>
      <c r="M82" s="221"/>
      <c r="N82" s="221"/>
      <c r="O82" s="221"/>
      <c r="P82" s="222"/>
      <c r="Q82" s="221" t="str">
        <f t="shared" ref="Q82" si="47">IF(ISERROR(N82/I82),"",ROUND(N82/I82*100,2))</f>
        <v/>
      </c>
      <c r="R82" s="335" t="str">
        <f t="shared" ref="R82" si="48">IF(ISERROR(P82/I82),"",ROUND(P82/I82*100,2))</f>
        <v/>
      </c>
    </row>
    <row r="83" spans="1:21">
      <c r="A83" s="771" t="s">
        <v>16</v>
      </c>
      <c r="B83" s="772"/>
      <c r="C83" s="772"/>
      <c r="D83" s="772"/>
      <c r="E83" s="204"/>
      <c r="F83" s="211">
        <f>SUM(F16:F81)</f>
        <v>16903840.539999999</v>
      </c>
      <c r="G83" s="204"/>
      <c r="H83" s="210"/>
      <c r="I83" s="209">
        <f>SUM(I16:I81)</f>
        <v>16903840.539999999</v>
      </c>
      <c r="J83" s="204"/>
      <c r="K83" s="204"/>
      <c r="L83" s="204">
        <f>ROUND(SUM(L16:L82),2)</f>
        <v>3576234.43</v>
      </c>
      <c r="M83" s="204"/>
      <c r="N83" s="204">
        <f>SUM(N16:N82)</f>
        <v>1254299.1200000001</v>
      </c>
      <c r="O83" s="204" t="str">
        <f>IF(M83+K83=0,"",M83+K83)</f>
        <v/>
      </c>
      <c r="P83" s="204">
        <f>ROUND(SUM(P16:P82),2)</f>
        <v>4830533.55</v>
      </c>
      <c r="Q83" s="208">
        <f>+N83/I83*100</f>
        <v>7.42</v>
      </c>
      <c r="R83" s="208"/>
      <c r="S83" s="207"/>
      <c r="T83" s="206"/>
      <c r="U83" s="205"/>
    </row>
    <row r="84" spans="1:21">
      <c r="A84" s="184"/>
      <c r="B84" s="184"/>
      <c r="C84" s="184"/>
      <c r="D84" s="184"/>
      <c r="E84" s="184"/>
      <c r="F84" s="203"/>
      <c r="G84" s="184"/>
      <c r="H84" s="184"/>
      <c r="I84" s="190"/>
      <c r="J84" s="346"/>
      <c r="K84" s="193"/>
      <c r="L84" s="192"/>
      <c r="M84" s="193"/>
      <c r="N84" s="196"/>
      <c r="O84" s="193"/>
      <c r="P84" s="192"/>
      <c r="Q84" s="184"/>
      <c r="R84" s="202"/>
    </row>
    <row r="85" spans="1:21">
      <c r="A85" s="184"/>
      <c r="B85" s="184"/>
      <c r="C85" s="184"/>
      <c r="D85" s="184"/>
      <c r="E85" s="184"/>
      <c r="F85" s="184"/>
      <c r="G85" s="184"/>
      <c r="H85" s="184"/>
      <c r="I85" s="190"/>
      <c r="J85" s="346"/>
      <c r="K85" s="193"/>
      <c r="L85" s="192"/>
      <c r="M85" s="193"/>
      <c r="N85" s="196"/>
      <c r="O85" s="193"/>
      <c r="P85" s="192"/>
      <c r="Q85" s="201"/>
      <c r="R85" s="184"/>
    </row>
    <row r="86" spans="1:21">
      <c r="A86" s="184"/>
      <c r="B86" s="184"/>
      <c r="C86" s="184"/>
      <c r="D86" s="184"/>
      <c r="E86" s="184"/>
      <c r="F86" s="200"/>
      <c r="G86" s="184"/>
      <c r="H86" s="184"/>
      <c r="I86" s="184"/>
      <c r="J86" s="346"/>
      <c r="K86" s="193"/>
      <c r="L86" s="192"/>
      <c r="M86" s="193"/>
      <c r="N86" s="199"/>
      <c r="O86" s="198"/>
      <c r="P86" s="197"/>
      <c r="Q86" s="184"/>
      <c r="R86" s="184"/>
    </row>
    <row r="87" spans="1:21">
      <c r="A87" s="184"/>
      <c r="B87" s="184"/>
      <c r="C87" s="184"/>
      <c r="D87" s="184"/>
      <c r="E87" s="184"/>
      <c r="F87" s="185"/>
      <c r="G87" s="184"/>
      <c r="H87" s="184"/>
      <c r="I87" s="184"/>
      <c r="J87" s="346"/>
      <c r="K87" s="193"/>
      <c r="L87" s="192"/>
      <c r="M87" s="193"/>
      <c r="N87" s="196"/>
      <c r="O87" s="193"/>
      <c r="P87" s="192"/>
      <c r="Q87" s="184"/>
      <c r="R87" s="184"/>
    </row>
    <row r="88" spans="1:21">
      <c r="A88" s="184"/>
      <c r="B88" s="184"/>
      <c r="C88" s="184"/>
      <c r="D88" s="184"/>
      <c r="E88" s="184"/>
      <c r="F88" s="184"/>
      <c r="G88" s="190"/>
      <c r="H88" s="184"/>
      <c r="I88" s="184"/>
      <c r="J88" s="346"/>
      <c r="K88" s="193"/>
      <c r="L88" s="195"/>
      <c r="M88" s="193"/>
      <c r="N88" s="195"/>
      <c r="O88" s="193"/>
      <c r="P88" s="195"/>
      <c r="Q88" s="194"/>
      <c r="R88" s="193"/>
    </row>
    <row r="89" spans="1:21">
      <c r="A89" s="184"/>
      <c r="B89" s="184"/>
      <c r="C89" s="184"/>
      <c r="D89" s="184"/>
      <c r="E89" s="184"/>
      <c r="F89" s="184"/>
      <c r="G89" s="190"/>
      <c r="H89" s="184"/>
      <c r="I89" s="184"/>
      <c r="J89" s="346"/>
      <c r="K89" s="193"/>
      <c r="L89" s="195"/>
      <c r="M89" s="193"/>
      <c r="N89" s="195"/>
      <c r="O89" s="193"/>
      <c r="P89" s="195"/>
      <c r="Q89" s="194"/>
      <c r="R89" s="193"/>
    </row>
    <row r="90" spans="1:21">
      <c r="A90" s="184"/>
      <c r="B90" s="184"/>
      <c r="C90" s="184"/>
      <c r="D90" s="184"/>
      <c r="E90" s="184"/>
      <c r="F90" s="184"/>
      <c r="G90" s="190"/>
      <c r="H90" s="184"/>
      <c r="I90" s="184"/>
      <c r="J90" s="346"/>
      <c r="K90" s="193"/>
      <c r="L90" s="195"/>
      <c r="M90" s="193"/>
      <c r="N90" s="195"/>
      <c r="O90" s="193"/>
      <c r="P90" s="195"/>
      <c r="Q90" s="194"/>
      <c r="R90" s="193"/>
    </row>
    <row r="91" spans="1:21">
      <c r="A91" s="184"/>
      <c r="B91" s="184"/>
      <c r="C91" s="184"/>
      <c r="D91" s="184"/>
      <c r="E91" s="184"/>
      <c r="F91" s="184"/>
      <c r="G91" s="190"/>
      <c r="H91" s="184"/>
      <c r="I91" s="184"/>
      <c r="J91" s="346"/>
      <c r="K91" s="193"/>
      <c r="L91" s="195"/>
      <c r="M91" s="193"/>
      <c r="N91" s="195"/>
      <c r="O91" s="193"/>
      <c r="P91" s="195"/>
      <c r="Q91" s="194"/>
      <c r="R91" s="193"/>
    </row>
    <row r="92" spans="1:21">
      <c r="A92" s="184"/>
      <c r="B92" s="184"/>
      <c r="C92" s="184"/>
      <c r="D92" s="184"/>
      <c r="E92" s="184"/>
      <c r="F92" s="184"/>
      <c r="G92" s="190"/>
      <c r="H92" s="184"/>
      <c r="I92" s="184"/>
      <c r="J92" s="346"/>
      <c r="K92" s="193"/>
      <c r="L92" s="195"/>
      <c r="M92" s="193"/>
      <c r="N92" s="195"/>
      <c r="O92" s="193"/>
      <c r="P92" s="195"/>
      <c r="Q92" s="194"/>
      <c r="R92" s="193"/>
    </row>
    <row r="93" spans="1:21">
      <c r="A93" s="184"/>
      <c r="B93" s="184"/>
      <c r="C93" s="184"/>
      <c r="D93" s="184"/>
      <c r="E93" s="184"/>
      <c r="F93" s="184"/>
      <c r="G93" s="190"/>
      <c r="H93" s="184"/>
      <c r="I93" s="184"/>
      <c r="J93" s="346"/>
      <c r="K93" s="193"/>
      <c r="L93" s="195"/>
      <c r="M93" s="193"/>
      <c r="N93" s="195"/>
      <c r="O93" s="193"/>
      <c r="P93" s="195"/>
      <c r="Q93" s="194"/>
      <c r="R93" s="193"/>
    </row>
    <row r="94" spans="1:21">
      <c r="A94" s="184"/>
      <c r="B94" s="184"/>
      <c r="C94" s="184"/>
      <c r="D94" s="184"/>
      <c r="E94" s="184"/>
      <c r="F94" s="184"/>
      <c r="G94" s="190"/>
      <c r="H94" s="184"/>
      <c r="I94" s="184"/>
      <c r="J94" s="346"/>
      <c r="K94" s="193"/>
      <c r="L94" s="195"/>
      <c r="M94" s="193"/>
      <c r="N94" s="195"/>
      <c r="O94" s="193"/>
      <c r="P94" s="195"/>
      <c r="Q94" s="194"/>
      <c r="R94" s="193"/>
    </row>
    <row r="95" spans="1:21">
      <c r="A95" s="184"/>
      <c r="B95" s="184"/>
      <c r="C95" s="184"/>
      <c r="D95" s="184"/>
      <c r="E95" s="184"/>
      <c r="F95" s="184"/>
      <c r="G95" s="190"/>
      <c r="H95" s="184"/>
      <c r="I95" s="184"/>
      <c r="J95" s="346"/>
      <c r="K95" s="193"/>
      <c r="L95" s="195"/>
      <c r="M95" s="193"/>
      <c r="N95" s="195"/>
      <c r="O95" s="193"/>
      <c r="P95" s="195"/>
      <c r="Q95" s="194"/>
      <c r="R95" s="193"/>
    </row>
    <row r="96" spans="1:21">
      <c r="A96" s="184"/>
      <c r="B96" s="184"/>
      <c r="C96" s="184"/>
      <c r="D96" s="184"/>
      <c r="E96" s="184"/>
      <c r="F96" s="184"/>
      <c r="G96" s="190"/>
      <c r="H96" s="184"/>
      <c r="I96" s="184"/>
      <c r="J96" s="346"/>
      <c r="K96" s="193"/>
      <c r="L96" s="195"/>
      <c r="M96" s="193"/>
      <c r="N96" s="195"/>
      <c r="O96" s="193"/>
      <c r="P96" s="195"/>
      <c r="Q96" s="194"/>
      <c r="R96" s="193"/>
    </row>
    <row r="97" spans="1:18">
      <c r="A97" s="184"/>
      <c r="B97" s="184"/>
      <c r="C97" s="184"/>
      <c r="D97" s="184"/>
      <c r="E97" s="184"/>
      <c r="F97" s="184"/>
      <c r="G97" s="184"/>
      <c r="H97" s="184"/>
      <c r="I97" s="184"/>
      <c r="J97" s="346"/>
      <c r="K97" s="193"/>
      <c r="L97" s="192"/>
      <c r="M97" s="193"/>
      <c r="N97" s="192"/>
      <c r="O97" s="193"/>
      <c r="P97" s="192"/>
      <c r="Q97" s="190"/>
      <c r="R97" s="184"/>
    </row>
    <row r="98" spans="1:18">
      <c r="A98" s="191"/>
      <c r="B98" s="184"/>
      <c r="C98" s="184"/>
      <c r="D98" s="184"/>
      <c r="E98" s="184"/>
      <c r="F98" s="189"/>
      <c r="G98" s="184"/>
      <c r="H98" s="184"/>
      <c r="I98" s="184"/>
      <c r="J98" s="346"/>
      <c r="K98" s="184"/>
      <c r="L98" s="190"/>
      <c r="M98" s="184"/>
      <c r="N98" s="184"/>
      <c r="O98" s="184"/>
      <c r="P98" s="185"/>
      <c r="Q98" s="184"/>
      <c r="R98" s="184"/>
    </row>
    <row r="99" spans="1:18">
      <c r="A99" s="184"/>
      <c r="B99" s="184"/>
      <c r="C99" s="184"/>
      <c r="D99" s="184"/>
      <c r="E99" s="184"/>
      <c r="F99" s="189"/>
      <c r="G99" s="184"/>
      <c r="H99" s="184"/>
      <c r="I99" s="184"/>
      <c r="J99" s="346"/>
      <c r="K99" s="184"/>
      <c r="L99" s="188"/>
      <c r="M99" s="184"/>
      <c r="N99" s="187"/>
      <c r="O99" s="184"/>
      <c r="P99" s="186"/>
      <c r="Q99" s="185"/>
      <c r="R99" s="184"/>
    </row>
    <row r="100" spans="1:18">
      <c r="A100" s="184"/>
      <c r="B100" s="184"/>
      <c r="C100" s="184"/>
      <c r="D100" s="184"/>
      <c r="E100" s="184"/>
      <c r="F100" s="184"/>
      <c r="G100" s="184"/>
      <c r="H100" s="184"/>
      <c r="I100" s="184"/>
      <c r="J100" s="346"/>
      <c r="K100" s="184"/>
      <c r="L100" s="184"/>
      <c r="M100" s="184"/>
      <c r="N100" s="185"/>
      <c r="O100" s="184"/>
      <c r="P100" s="184"/>
      <c r="Q100" s="184"/>
      <c r="R100" s="184"/>
    </row>
    <row r="101" spans="1:18">
      <c r="A101" s="184"/>
      <c r="B101" s="184"/>
      <c r="C101" s="184"/>
      <c r="D101" s="184"/>
      <c r="E101" s="184"/>
      <c r="F101" s="184"/>
      <c r="G101" s="184"/>
      <c r="H101" s="184"/>
      <c r="I101" s="184"/>
      <c r="J101" s="346"/>
      <c r="K101" s="184"/>
      <c r="L101" s="184"/>
      <c r="M101" s="184"/>
      <c r="N101" s="184"/>
      <c r="O101" s="184"/>
      <c r="P101" s="184"/>
      <c r="Q101" s="184"/>
      <c r="R101" s="184"/>
    </row>
    <row r="103" spans="1:18" ht="24.75" customHeight="1"/>
    <row r="104" spans="1:18">
      <c r="N104" s="183"/>
    </row>
    <row r="105" spans="1:18">
      <c r="F105" s="181"/>
      <c r="N105" s="182"/>
      <c r="O105" s="182"/>
    </row>
    <row r="106" spans="1:18">
      <c r="N106" s="181"/>
    </row>
    <row r="109" spans="1:18">
      <c r="F109" s="180"/>
    </row>
    <row r="110" spans="1:18">
      <c r="F110" s="179"/>
    </row>
    <row r="111" spans="1:18">
      <c r="E111" s="178"/>
    </row>
    <row r="112" spans="1:18">
      <c r="E112" s="177"/>
    </row>
    <row r="113" spans="5:5">
      <c r="E113" s="177"/>
    </row>
  </sheetData>
  <mergeCells count="34">
    <mergeCell ref="D10:R10"/>
    <mergeCell ref="A1:R1"/>
    <mergeCell ref="A2:R2"/>
    <mergeCell ref="A3:B3"/>
    <mergeCell ref="C3:R3"/>
    <mergeCell ref="A4:B4"/>
    <mergeCell ref="C4:R4"/>
    <mergeCell ref="D5:R5"/>
    <mergeCell ref="D6:R6"/>
    <mergeCell ref="D7:R7"/>
    <mergeCell ref="D8:R8"/>
    <mergeCell ref="D9:R9"/>
    <mergeCell ref="D11:R11"/>
    <mergeCell ref="A12:A14"/>
    <mergeCell ref="B12:B14"/>
    <mergeCell ref="C12:F12"/>
    <mergeCell ref="G12:J12"/>
    <mergeCell ref="K12:L12"/>
    <mergeCell ref="M12:N12"/>
    <mergeCell ref="O12:P12"/>
    <mergeCell ref="Q12:R12"/>
    <mergeCell ref="C13:D13"/>
    <mergeCell ref="K13:K14"/>
    <mergeCell ref="M13:M14"/>
    <mergeCell ref="O13:O14"/>
    <mergeCell ref="Q13:Q14"/>
    <mergeCell ref="R13:R14"/>
    <mergeCell ref="I13:I14"/>
    <mergeCell ref="J13:J14"/>
    <mergeCell ref="A83:D83"/>
    <mergeCell ref="E13:E14"/>
    <mergeCell ref="F13:F14"/>
    <mergeCell ref="G13:G14"/>
    <mergeCell ref="H13:H14"/>
  </mergeCells>
  <conditionalFormatting sqref="A15:R81">
    <cfRule type="expression" dxfId="6" priority="1">
      <formula>IF($M15&gt;0,1,0)</formula>
    </cfRule>
  </conditionalFormatting>
  <printOptions horizontalCentered="1"/>
  <pageMargins left="3.937007874015748E-2" right="0" top="0.43307086614173229" bottom="0.19685039370078741" header="0" footer="0"/>
  <pageSetup scale="57" fitToHeight="0" orientation="landscape" horizontalDpi="4294967293" r:id="rId1"/>
  <headerFooter scaleWithDoc="0" alignWithMargins="0"/>
  <rowBreaks count="1" manualBreakCount="1">
    <brk id="68" min="1" max="17" man="1"/>
  </rowBreaks>
  <colBreaks count="1" manualBreakCount="1">
    <brk id="18" max="1048575" man="1"/>
  </colBreaks>
  <ignoredErrors>
    <ignoredError sqref="I16:I81" unlocked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8" tint="-0.249977111117893"/>
    <pageSetUpPr fitToPage="1"/>
  </sheetPr>
  <dimension ref="A1:AG113"/>
  <sheetViews>
    <sheetView showGridLines="0" view="pageBreakPreview" zoomScaleNormal="90" zoomScaleSheetLayoutView="100" zoomScalePageLayoutView="60" workbookViewId="0">
      <selection sqref="A1:R1"/>
    </sheetView>
  </sheetViews>
  <sheetFormatPr baseColWidth="10" defaultColWidth="11.44140625" defaultRowHeight="13.2"/>
  <cols>
    <col min="1" max="1" width="5.44140625" style="175" customWidth="1"/>
    <col min="2" max="2" width="53.44140625" style="175" customWidth="1"/>
    <col min="3" max="3" width="6.109375" style="175" customWidth="1"/>
    <col min="4" max="4" width="10.5546875" style="175" customWidth="1"/>
    <col min="5" max="5" width="10.88671875" style="175" customWidth="1"/>
    <col min="6" max="6" width="14.33203125" style="175" customWidth="1"/>
    <col min="7" max="7" width="10" style="175" customWidth="1"/>
    <col min="8" max="8" width="11.109375" style="175" customWidth="1"/>
    <col min="9" max="9" width="13.5546875" style="175" customWidth="1"/>
    <col min="10" max="10" width="8.6640625" style="347" customWidth="1"/>
    <col min="11" max="11" width="10.6640625" style="175" customWidth="1"/>
    <col min="12" max="12" width="13.88671875" style="175" customWidth="1"/>
    <col min="13" max="13" width="11.33203125" style="175" customWidth="1"/>
    <col min="14" max="14" width="15.6640625" style="175" customWidth="1"/>
    <col min="15" max="15" width="12.5546875" style="175" customWidth="1"/>
    <col min="16" max="16" width="13.6640625" style="175" customWidth="1"/>
    <col min="17" max="17" width="10.5546875" style="175" customWidth="1"/>
    <col min="18" max="18" width="10.109375" style="175" customWidth="1"/>
    <col min="19" max="19" width="20" style="175" customWidth="1"/>
    <col min="20" max="20" width="20" style="176" customWidth="1"/>
    <col min="21" max="21" width="20.33203125" style="176" customWidth="1"/>
    <col min="22" max="22" width="16" style="175" customWidth="1"/>
    <col min="23" max="23" width="11.44140625" style="175"/>
    <col min="24" max="24" width="23.44140625" style="175" customWidth="1"/>
    <col min="25" max="25" width="16.88671875" style="175" customWidth="1"/>
    <col min="26" max="16384" width="11.44140625" style="175"/>
  </cols>
  <sheetData>
    <row r="1" spans="1:25" s="276" customFormat="1" ht="23.25" customHeight="1">
      <c r="A1" s="790" t="s">
        <v>202</v>
      </c>
      <c r="B1" s="791"/>
      <c r="C1" s="791"/>
      <c r="D1" s="791"/>
      <c r="E1" s="791"/>
      <c r="F1" s="791"/>
      <c r="G1" s="791"/>
      <c r="H1" s="791"/>
      <c r="I1" s="791"/>
      <c r="J1" s="791"/>
      <c r="K1" s="791"/>
      <c r="L1" s="791"/>
      <c r="M1" s="791"/>
      <c r="N1" s="791"/>
      <c r="O1" s="791"/>
      <c r="P1" s="791"/>
      <c r="Q1" s="791"/>
      <c r="R1" s="792"/>
      <c r="T1" s="277"/>
      <c r="U1" s="277"/>
    </row>
    <row r="2" spans="1:25" s="2" customFormat="1" ht="18.75" customHeight="1">
      <c r="A2" s="793" t="str">
        <f>ANALISIS!A2:F2</f>
        <v>PROYECTO:  MEJORAMIENTO CAMINO ROSARIO DEL INGRE - MACHICOCA - IVOCA (FASE I)</v>
      </c>
      <c r="B2" s="794"/>
      <c r="C2" s="794"/>
      <c r="D2" s="794"/>
      <c r="E2" s="794"/>
      <c r="F2" s="794"/>
      <c r="G2" s="794"/>
      <c r="H2" s="794"/>
      <c r="I2" s="794"/>
      <c r="J2" s="794"/>
      <c r="K2" s="794"/>
      <c r="L2" s="794"/>
      <c r="M2" s="794"/>
      <c r="N2" s="794"/>
      <c r="O2" s="794"/>
      <c r="P2" s="794"/>
      <c r="Q2" s="794"/>
      <c r="R2" s="795"/>
      <c r="T2" s="6"/>
      <c r="U2" s="6"/>
    </row>
    <row r="3" spans="1:25" s="266" customFormat="1" ht="18.75" customHeight="1">
      <c r="A3" s="796" t="s">
        <v>9</v>
      </c>
      <c r="B3" s="719"/>
      <c r="C3" s="797" t="s">
        <v>78</v>
      </c>
      <c r="D3" s="797"/>
      <c r="E3" s="797"/>
      <c r="F3" s="797"/>
      <c r="G3" s="797"/>
      <c r="H3" s="797"/>
      <c r="I3" s="797"/>
      <c r="J3" s="797"/>
      <c r="K3" s="797"/>
      <c r="L3" s="797"/>
      <c r="M3" s="797"/>
      <c r="N3" s="797"/>
      <c r="O3" s="797"/>
      <c r="P3" s="797"/>
      <c r="Q3" s="797"/>
      <c r="R3" s="798"/>
      <c r="T3" s="267"/>
      <c r="U3" s="267"/>
    </row>
    <row r="4" spans="1:25" s="266" customFormat="1" ht="17.25" customHeight="1">
      <c r="A4" s="796" t="s">
        <v>15</v>
      </c>
      <c r="B4" s="719"/>
      <c r="C4" s="799" t="s">
        <v>77</v>
      </c>
      <c r="D4" s="799"/>
      <c r="E4" s="799"/>
      <c r="F4" s="799"/>
      <c r="G4" s="799"/>
      <c r="H4" s="799"/>
      <c r="I4" s="799"/>
      <c r="J4" s="799"/>
      <c r="K4" s="799"/>
      <c r="L4" s="799"/>
      <c r="M4" s="799"/>
      <c r="N4" s="799"/>
      <c r="O4" s="799"/>
      <c r="P4" s="799"/>
      <c r="Q4" s="799"/>
      <c r="R4" s="800"/>
      <c r="T4" s="267"/>
      <c r="U4" s="267"/>
    </row>
    <row r="5" spans="1:25" s="266" customFormat="1" ht="13.8">
      <c r="A5" s="274"/>
      <c r="B5" s="273" t="s">
        <v>11</v>
      </c>
      <c r="C5" s="272"/>
      <c r="D5" s="706">
        <v>43759</v>
      </c>
      <c r="E5" s="706"/>
      <c r="F5" s="706"/>
      <c r="G5" s="706"/>
      <c r="H5" s="706"/>
      <c r="I5" s="706"/>
      <c r="J5" s="706"/>
      <c r="K5" s="706"/>
      <c r="L5" s="706"/>
      <c r="M5" s="706"/>
      <c r="N5" s="706"/>
      <c r="O5" s="706"/>
      <c r="P5" s="706"/>
      <c r="Q5" s="706"/>
      <c r="R5" s="801"/>
      <c r="T5" s="267"/>
      <c r="U5" s="267"/>
    </row>
    <row r="6" spans="1:25" s="266" customFormat="1" ht="13.8">
      <c r="A6" s="270"/>
      <c r="B6" s="269" t="s">
        <v>12</v>
      </c>
      <c r="C6" s="271"/>
      <c r="D6" s="710" t="s">
        <v>85</v>
      </c>
      <c r="E6" s="710"/>
      <c r="F6" s="710"/>
      <c r="G6" s="710"/>
      <c r="H6" s="710"/>
      <c r="I6" s="710"/>
      <c r="J6" s="710"/>
      <c r="K6" s="710"/>
      <c r="L6" s="710"/>
      <c r="M6" s="710"/>
      <c r="N6" s="710"/>
      <c r="O6" s="710"/>
      <c r="P6" s="710"/>
      <c r="Q6" s="710"/>
      <c r="R6" s="789"/>
      <c r="T6" s="267"/>
      <c r="U6" s="267"/>
    </row>
    <row r="7" spans="1:25" s="266" customFormat="1" ht="13.8">
      <c r="A7" s="270"/>
      <c r="B7" s="269" t="s">
        <v>13</v>
      </c>
      <c r="C7" s="271"/>
      <c r="D7" s="708" t="s">
        <v>86</v>
      </c>
      <c r="E7" s="708"/>
      <c r="F7" s="708"/>
      <c r="G7" s="708"/>
      <c r="H7" s="708"/>
      <c r="I7" s="708"/>
      <c r="J7" s="708"/>
      <c r="K7" s="708"/>
      <c r="L7" s="708"/>
      <c r="M7" s="708"/>
      <c r="N7" s="708"/>
      <c r="O7" s="708"/>
      <c r="P7" s="708"/>
      <c r="Q7" s="708"/>
      <c r="R7" s="802"/>
      <c r="T7" s="267"/>
      <c r="U7" s="267"/>
    </row>
    <row r="8" spans="1:25" s="266" customFormat="1" ht="13.8">
      <c r="A8" s="270"/>
      <c r="B8" s="269" t="s">
        <v>14</v>
      </c>
      <c r="C8" s="271"/>
      <c r="D8" s="710">
        <f>600+D5</f>
        <v>44359</v>
      </c>
      <c r="E8" s="710"/>
      <c r="F8" s="710"/>
      <c r="G8" s="710"/>
      <c r="H8" s="710"/>
      <c r="I8" s="710"/>
      <c r="J8" s="710"/>
      <c r="K8" s="710"/>
      <c r="L8" s="710"/>
      <c r="M8" s="710"/>
      <c r="N8" s="710"/>
      <c r="O8" s="710"/>
      <c r="P8" s="710"/>
      <c r="Q8" s="710"/>
      <c r="R8" s="789"/>
      <c r="T8" s="267"/>
      <c r="U8" s="267"/>
    </row>
    <row r="9" spans="1:25" s="266" customFormat="1" ht="13.8">
      <c r="A9" s="270"/>
      <c r="B9" s="269" t="s">
        <v>88</v>
      </c>
      <c r="C9" s="271"/>
      <c r="D9" s="710" t="s">
        <v>87</v>
      </c>
      <c r="E9" s="710"/>
      <c r="F9" s="710"/>
      <c r="G9" s="710"/>
      <c r="H9" s="710"/>
      <c r="I9" s="710"/>
      <c r="J9" s="710"/>
      <c r="K9" s="710"/>
      <c r="L9" s="710"/>
      <c r="M9" s="710"/>
      <c r="N9" s="710"/>
      <c r="O9" s="710"/>
      <c r="P9" s="710"/>
      <c r="Q9" s="710"/>
      <c r="R9" s="789"/>
      <c r="T9" s="267"/>
      <c r="U9" s="267"/>
    </row>
    <row r="10" spans="1:25" s="266" customFormat="1" ht="13.8">
      <c r="A10" s="270"/>
      <c r="B10" s="269" t="s">
        <v>79</v>
      </c>
      <c r="C10" s="128"/>
      <c r="D10" s="710">
        <v>44570</v>
      </c>
      <c r="E10" s="710"/>
      <c r="F10" s="710"/>
      <c r="G10" s="710"/>
      <c r="H10" s="710"/>
      <c r="I10" s="710"/>
      <c r="J10" s="710"/>
      <c r="K10" s="710"/>
      <c r="L10" s="710"/>
      <c r="M10" s="710"/>
      <c r="N10" s="710"/>
      <c r="O10" s="710"/>
      <c r="P10" s="710"/>
      <c r="Q10" s="710"/>
      <c r="R10" s="789"/>
      <c r="T10" s="267"/>
      <c r="U10" s="267"/>
    </row>
    <row r="11" spans="1:25" s="266" customFormat="1" ht="13.8">
      <c r="A11" s="275"/>
      <c r="B11" s="268" t="s">
        <v>196</v>
      </c>
      <c r="C11" s="4"/>
      <c r="D11" s="775">
        <v>0</v>
      </c>
      <c r="E11" s="775"/>
      <c r="F11" s="775"/>
      <c r="G11" s="775"/>
      <c r="H11" s="775"/>
      <c r="I11" s="775"/>
      <c r="J11" s="775"/>
      <c r="K11" s="775"/>
      <c r="L11" s="775"/>
      <c r="M11" s="775"/>
      <c r="N11" s="775"/>
      <c r="O11" s="775"/>
      <c r="P11" s="775"/>
      <c r="Q11" s="775"/>
      <c r="R11" s="776"/>
      <c r="T11" s="267"/>
      <c r="U11" s="267"/>
    </row>
    <row r="12" spans="1:25" s="260" customFormat="1" ht="20.25" customHeight="1">
      <c r="A12" s="777" t="s">
        <v>2</v>
      </c>
      <c r="B12" s="728" t="s">
        <v>0</v>
      </c>
      <c r="C12" s="779" t="s">
        <v>3</v>
      </c>
      <c r="D12" s="779"/>
      <c r="E12" s="779"/>
      <c r="F12" s="779"/>
      <c r="G12" s="780" t="s">
        <v>80</v>
      </c>
      <c r="H12" s="781"/>
      <c r="I12" s="781"/>
      <c r="J12" s="782"/>
      <c r="K12" s="779" t="s">
        <v>195</v>
      </c>
      <c r="L12" s="779"/>
      <c r="M12" s="783" t="s">
        <v>194</v>
      </c>
      <c r="N12" s="784"/>
      <c r="O12" s="779" t="s">
        <v>161</v>
      </c>
      <c r="P12" s="779"/>
      <c r="Q12" s="785" t="s">
        <v>193</v>
      </c>
      <c r="R12" s="786"/>
      <c r="T12" s="261"/>
      <c r="U12" s="261"/>
    </row>
    <row r="13" spans="1:25" s="260" customFormat="1" ht="12.75" customHeight="1">
      <c r="A13" s="777"/>
      <c r="B13" s="728"/>
      <c r="C13" s="779" t="s">
        <v>5</v>
      </c>
      <c r="D13" s="779"/>
      <c r="E13" s="728" t="s">
        <v>1</v>
      </c>
      <c r="F13" s="728" t="s">
        <v>6</v>
      </c>
      <c r="G13" s="773" t="s">
        <v>81</v>
      </c>
      <c r="H13" s="773" t="s">
        <v>82</v>
      </c>
      <c r="I13" s="773" t="s">
        <v>192</v>
      </c>
      <c r="J13" s="729" t="s">
        <v>4</v>
      </c>
      <c r="K13" s="728" t="s">
        <v>1</v>
      </c>
      <c r="L13" s="265" t="s">
        <v>189</v>
      </c>
      <c r="M13" s="728" t="s">
        <v>1</v>
      </c>
      <c r="N13" s="265" t="s">
        <v>189</v>
      </c>
      <c r="O13" s="728" t="s">
        <v>1</v>
      </c>
      <c r="P13" s="265" t="s">
        <v>189</v>
      </c>
      <c r="Q13" s="728" t="s">
        <v>191</v>
      </c>
      <c r="R13" s="787" t="s">
        <v>190</v>
      </c>
      <c r="T13" s="261"/>
      <c r="U13" s="261"/>
    </row>
    <row r="14" spans="1:25" s="260" customFormat="1" ht="33.75" customHeight="1">
      <c r="A14" s="778"/>
      <c r="B14" s="729"/>
      <c r="C14" s="264" t="s">
        <v>7</v>
      </c>
      <c r="D14" s="264" t="s">
        <v>8</v>
      </c>
      <c r="E14" s="729"/>
      <c r="F14" s="729"/>
      <c r="G14" s="774"/>
      <c r="H14" s="774"/>
      <c r="I14" s="774"/>
      <c r="J14" s="770"/>
      <c r="K14" s="729"/>
      <c r="L14" s="264" t="s">
        <v>8</v>
      </c>
      <c r="M14" s="729"/>
      <c r="N14" s="264" t="s">
        <v>8</v>
      </c>
      <c r="O14" s="729"/>
      <c r="P14" s="264" t="s">
        <v>8</v>
      </c>
      <c r="Q14" s="729"/>
      <c r="R14" s="788" t="s">
        <v>188</v>
      </c>
      <c r="S14" s="263"/>
      <c r="T14" s="262"/>
      <c r="U14" s="261"/>
    </row>
    <row r="15" spans="1:25" ht="13.8">
      <c r="A15" s="229"/>
      <c r="B15" s="228" t="s">
        <v>26</v>
      </c>
      <c r="C15" s="227"/>
      <c r="D15" s="259"/>
      <c r="E15" s="259"/>
      <c r="F15" s="258"/>
      <c r="G15" s="226"/>
      <c r="H15" s="226"/>
      <c r="I15" s="226"/>
      <c r="J15" s="224"/>
      <c r="K15" s="258"/>
      <c r="L15" s="221"/>
      <c r="M15" s="221"/>
      <c r="N15" s="221"/>
      <c r="O15" s="221"/>
      <c r="P15" s="221"/>
      <c r="Q15" s="221"/>
      <c r="R15" s="220"/>
    </row>
    <row r="16" spans="1:25" ht="13.8">
      <c r="A16" s="313">
        <v>1</v>
      </c>
      <c r="B16" s="241" t="s">
        <v>17</v>
      </c>
      <c r="C16" s="234" t="s">
        <v>18</v>
      </c>
      <c r="D16" s="233">
        <v>47860.38</v>
      </c>
      <c r="E16" s="233">
        <v>0.5</v>
      </c>
      <c r="F16" s="240">
        <f t="shared" ref="F16:F21" si="0">D16*E16</f>
        <v>23930.19</v>
      </c>
      <c r="G16" s="314">
        <v>0</v>
      </c>
      <c r="H16" s="315">
        <v>0.5</v>
      </c>
      <c r="I16" s="315">
        <f t="shared" ref="I16:I21" si="1">+H16*D16</f>
        <v>23930.19</v>
      </c>
      <c r="J16" s="330"/>
      <c r="K16" s="317">
        <v>0.5</v>
      </c>
      <c r="L16" s="318">
        <v>23930.19</v>
      </c>
      <c r="M16" s="317"/>
      <c r="N16" s="318">
        <f t="shared" ref="N16:N21" si="2">ROUND(M16*D16,2)</f>
        <v>0</v>
      </c>
      <c r="O16" s="317">
        <f>M16+K16</f>
        <v>0.5</v>
      </c>
      <c r="P16" s="318">
        <f>L16+N16</f>
        <v>23930.19</v>
      </c>
      <c r="Q16" s="317">
        <f t="shared" ref="Q16:Q21" si="3">IF(ISERROR(N16/I16),"",ROUND(N16/I16*100,2))</f>
        <v>0</v>
      </c>
      <c r="R16" s="319">
        <f t="shared" ref="R16:R21" si="4">IF(ISERROR(P16/I16),"",ROUND(P16/I16*100,2))</f>
        <v>100</v>
      </c>
      <c r="S16" s="181"/>
      <c r="T16" s="205"/>
      <c r="W16" s="292"/>
      <c r="X16" s="292"/>
      <c r="Y16" s="294"/>
    </row>
    <row r="17" spans="1:33" ht="13.8">
      <c r="A17" s="239">
        <f>1+A16</f>
        <v>2</v>
      </c>
      <c r="B17" s="219" t="s">
        <v>19</v>
      </c>
      <c r="C17" s="218" t="s">
        <v>20</v>
      </c>
      <c r="D17" s="217">
        <v>4767.6099999999997</v>
      </c>
      <c r="E17" s="217">
        <v>5.57</v>
      </c>
      <c r="F17" s="216">
        <f t="shared" si="0"/>
        <v>26555.59</v>
      </c>
      <c r="G17" s="320">
        <f>+H17-E17</f>
        <v>0</v>
      </c>
      <c r="H17" s="238">
        <v>5.57</v>
      </c>
      <c r="I17" s="238">
        <f t="shared" si="1"/>
        <v>26555.59</v>
      </c>
      <c r="J17" s="237"/>
      <c r="K17" s="320">
        <v>5.57</v>
      </c>
      <c r="L17" s="321">
        <v>26555.59</v>
      </c>
      <c r="M17" s="235"/>
      <c r="N17" s="321">
        <f t="shared" si="2"/>
        <v>0</v>
      </c>
      <c r="O17" s="235">
        <f t="shared" ref="O17:O21" si="5">M17+K17</f>
        <v>5.57</v>
      </c>
      <c r="P17" s="321">
        <f t="shared" ref="P17:P21" si="6">L17+N17</f>
        <v>26555.59</v>
      </c>
      <c r="Q17" s="235">
        <f t="shared" si="3"/>
        <v>0</v>
      </c>
      <c r="R17" s="322">
        <f t="shared" si="4"/>
        <v>100</v>
      </c>
      <c r="S17" s="181"/>
      <c r="T17" s="205"/>
      <c r="W17" s="292"/>
      <c r="X17" s="292"/>
      <c r="Y17" s="294"/>
    </row>
    <row r="18" spans="1:33" s="244" customFormat="1" ht="13.8">
      <c r="A18" s="239">
        <f>1+A17</f>
        <v>3</v>
      </c>
      <c r="B18" s="219" t="s">
        <v>21</v>
      </c>
      <c r="C18" s="218" t="s">
        <v>10</v>
      </c>
      <c r="D18" s="217">
        <v>15.64</v>
      </c>
      <c r="E18" s="217">
        <v>40377.64</v>
      </c>
      <c r="F18" s="216">
        <f t="shared" si="0"/>
        <v>631506.29</v>
      </c>
      <c r="G18" s="320">
        <f>+H18-E18</f>
        <v>57206.19</v>
      </c>
      <c r="H18" s="238">
        <v>97583.83</v>
      </c>
      <c r="I18" s="238">
        <f t="shared" si="1"/>
        <v>1526211.1</v>
      </c>
      <c r="J18" s="237"/>
      <c r="K18" s="235">
        <v>54940.83</v>
      </c>
      <c r="L18" s="321">
        <v>859274.58</v>
      </c>
      <c r="M18" s="235">
        <v>12367.2</v>
      </c>
      <c r="N18" s="321">
        <f t="shared" si="2"/>
        <v>193423.01</v>
      </c>
      <c r="O18" s="235">
        <f t="shared" si="5"/>
        <v>67308.03</v>
      </c>
      <c r="P18" s="321">
        <f t="shared" si="6"/>
        <v>1052697.5900000001</v>
      </c>
      <c r="Q18" s="235">
        <f t="shared" si="3"/>
        <v>12.67</v>
      </c>
      <c r="R18" s="322">
        <f t="shared" si="4"/>
        <v>68.97</v>
      </c>
      <c r="S18" s="181"/>
      <c r="T18" s="246"/>
      <c r="U18" s="246"/>
      <c r="V18" s="247"/>
      <c r="W18" s="293"/>
      <c r="X18" s="293"/>
      <c r="Y18" s="294"/>
      <c r="Z18" s="247"/>
      <c r="AA18" s="247"/>
      <c r="AB18" s="247"/>
      <c r="AC18" s="247"/>
      <c r="AD18" s="247"/>
      <c r="AE18" s="247"/>
      <c r="AF18" s="247"/>
      <c r="AG18" s="247"/>
    </row>
    <row r="19" spans="1:33" s="244" customFormat="1" ht="13.8">
      <c r="A19" s="239">
        <f>1+A18</f>
        <v>4</v>
      </c>
      <c r="B19" s="219" t="s">
        <v>22</v>
      </c>
      <c r="C19" s="218" t="s">
        <v>10</v>
      </c>
      <c r="D19" s="217">
        <v>18.52</v>
      </c>
      <c r="E19" s="217">
        <v>10580</v>
      </c>
      <c r="F19" s="216">
        <f t="shared" si="0"/>
        <v>195941.6</v>
      </c>
      <c r="G19" s="320">
        <f>+H19-E19</f>
        <v>17742.57</v>
      </c>
      <c r="H19" s="238">
        <v>28322.57</v>
      </c>
      <c r="I19" s="238">
        <f t="shared" si="1"/>
        <v>524534</v>
      </c>
      <c r="J19" s="237"/>
      <c r="K19" s="235">
        <v>10031.81</v>
      </c>
      <c r="L19" s="321">
        <v>185789.12</v>
      </c>
      <c r="M19" s="235">
        <v>6514.21</v>
      </c>
      <c r="N19" s="321">
        <f t="shared" si="2"/>
        <v>120643.17</v>
      </c>
      <c r="O19" s="235">
        <f t="shared" si="5"/>
        <v>16546.02</v>
      </c>
      <c r="P19" s="321">
        <f t="shared" si="6"/>
        <v>306432.28999999998</v>
      </c>
      <c r="Q19" s="235">
        <f t="shared" si="3"/>
        <v>23</v>
      </c>
      <c r="R19" s="322">
        <f t="shared" si="4"/>
        <v>58.42</v>
      </c>
      <c r="S19" s="181"/>
      <c r="T19" s="246"/>
      <c r="U19" s="246"/>
      <c r="V19" s="247"/>
      <c r="W19" s="293"/>
      <c r="X19" s="293"/>
      <c r="Y19" s="294"/>
      <c r="Z19" s="247"/>
      <c r="AA19" s="247"/>
      <c r="AB19" s="247"/>
      <c r="AC19" s="247"/>
      <c r="AD19" s="247"/>
      <c r="AE19" s="247"/>
      <c r="AF19" s="247"/>
      <c r="AG19" s="247"/>
    </row>
    <row r="20" spans="1:33" ht="13.8">
      <c r="A20" s="239">
        <f>1+A19</f>
        <v>5</v>
      </c>
      <c r="B20" s="257" t="s">
        <v>23</v>
      </c>
      <c r="C20" s="218" t="s">
        <v>10</v>
      </c>
      <c r="D20" s="217">
        <v>57.61</v>
      </c>
      <c r="E20" s="217">
        <v>11436.25</v>
      </c>
      <c r="F20" s="216">
        <f t="shared" si="0"/>
        <v>658842.36</v>
      </c>
      <c r="G20" s="320">
        <f>+H20-E20</f>
        <v>-2950.25</v>
      </c>
      <c r="H20" s="238">
        <v>8486</v>
      </c>
      <c r="I20" s="238">
        <f t="shared" si="1"/>
        <v>488878.46</v>
      </c>
      <c r="J20" s="237"/>
      <c r="K20" s="321">
        <v>4380.2</v>
      </c>
      <c r="L20" s="321">
        <v>252343.32</v>
      </c>
      <c r="M20" s="321"/>
      <c r="N20" s="321">
        <f t="shared" si="2"/>
        <v>0</v>
      </c>
      <c r="O20" s="235">
        <f t="shared" si="5"/>
        <v>4380.2</v>
      </c>
      <c r="P20" s="321">
        <f t="shared" si="6"/>
        <v>252343.32</v>
      </c>
      <c r="Q20" s="235">
        <f t="shared" si="3"/>
        <v>0</v>
      </c>
      <c r="R20" s="322">
        <f t="shared" si="4"/>
        <v>51.62</v>
      </c>
      <c r="S20" s="181"/>
      <c r="T20" s="205"/>
      <c r="U20" s="205"/>
      <c r="V20" s="181"/>
      <c r="W20" s="292"/>
      <c r="X20" s="292"/>
      <c r="Y20" s="294"/>
      <c r="Z20" s="181"/>
      <c r="AA20" s="181"/>
      <c r="AB20" s="181"/>
      <c r="AC20" s="181"/>
      <c r="AD20" s="181"/>
      <c r="AE20" s="181"/>
      <c r="AF20" s="181"/>
      <c r="AG20" s="181"/>
    </row>
    <row r="21" spans="1:33" ht="13.8">
      <c r="A21" s="323">
        <f>1+A20</f>
        <v>6</v>
      </c>
      <c r="B21" s="256" t="s">
        <v>24</v>
      </c>
      <c r="C21" s="214" t="s">
        <v>25</v>
      </c>
      <c r="D21" s="213">
        <v>4.8600000000000003</v>
      </c>
      <c r="E21" s="213">
        <v>40296</v>
      </c>
      <c r="F21" s="230">
        <f t="shared" si="0"/>
        <v>195838.56</v>
      </c>
      <c r="G21" s="324">
        <f>+H21-E21</f>
        <v>35000</v>
      </c>
      <c r="H21" s="325">
        <v>75296</v>
      </c>
      <c r="I21" s="325">
        <f t="shared" si="1"/>
        <v>365938.56</v>
      </c>
      <c r="J21" s="326"/>
      <c r="K21" s="324">
        <v>45120</v>
      </c>
      <c r="L21" s="327">
        <v>219283.20000000001</v>
      </c>
      <c r="M21" s="328"/>
      <c r="N21" s="327">
        <f t="shared" si="2"/>
        <v>0</v>
      </c>
      <c r="O21" s="328">
        <f t="shared" si="5"/>
        <v>45120</v>
      </c>
      <c r="P21" s="327">
        <f t="shared" si="6"/>
        <v>219283.20000000001</v>
      </c>
      <c r="Q21" s="328">
        <f t="shared" si="3"/>
        <v>0</v>
      </c>
      <c r="R21" s="329">
        <f t="shared" si="4"/>
        <v>59.92</v>
      </c>
      <c r="S21" s="181"/>
      <c r="T21" s="205"/>
      <c r="U21" s="205"/>
      <c r="V21" s="185"/>
      <c r="W21" s="292"/>
      <c r="X21" s="292"/>
      <c r="Y21" s="294"/>
      <c r="Z21" s="181"/>
      <c r="AA21" s="181"/>
      <c r="AB21" s="181"/>
      <c r="AC21" s="181"/>
      <c r="AD21" s="181"/>
      <c r="AE21" s="181"/>
      <c r="AF21" s="181"/>
      <c r="AG21" s="181"/>
    </row>
    <row r="22" spans="1:33" ht="13.8">
      <c r="A22" s="229"/>
      <c r="B22" s="255" t="s">
        <v>27</v>
      </c>
      <c r="C22" s="227"/>
      <c r="D22" s="226"/>
      <c r="E22" s="226"/>
      <c r="F22" s="225"/>
      <c r="G22" s="226"/>
      <c r="H22" s="225"/>
      <c r="I22" s="225"/>
      <c r="J22" s="224"/>
      <c r="K22" s="222"/>
      <c r="L22" s="222"/>
      <c r="M22" s="221"/>
      <c r="N22" s="221"/>
      <c r="O22" s="221"/>
      <c r="P22" s="222"/>
      <c r="Q22" s="221"/>
      <c r="R22" s="220"/>
      <c r="S22" s="181"/>
      <c r="T22" s="205"/>
      <c r="U22" s="205"/>
      <c r="V22" s="183"/>
      <c r="W22" s="181"/>
      <c r="X22" s="181"/>
      <c r="Y22" s="181"/>
      <c r="Z22" s="181"/>
      <c r="AA22" s="181"/>
      <c r="AB22" s="181"/>
      <c r="AC22" s="181"/>
      <c r="AD22" s="181"/>
      <c r="AE22" s="181"/>
      <c r="AF22" s="181"/>
      <c r="AG22" s="181"/>
    </row>
    <row r="23" spans="1:33" ht="12.75" customHeight="1">
      <c r="A23" s="313">
        <v>7</v>
      </c>
      <c r="B23" s="241" t="s">
        <v>28</v>
      </c>
      <c r="C23" s="234" t="s">
        <v>10</v>
      </c>
      <c r="D23" s="233">
        <v>61.39</v>
      </c>
      <c r="E23" s="233">
        <v>23213.09</v>
      </c>
      <c r="F23" s="240">
        <f>D23*E23</f>
        <v>1425051.6</v>
      </c>
      <c r="G23" s="314">
        <f>+H23-E23</f>
        <v>0</v>
      </c>
      <c r="H23" s="315">
        <v>23213.09</v>
      </c>
      <c r="I23" s="315">
        <f>+H23*D23</f>
        <v>1425051.6</v>
      </c>
      <c r="J23" s="330"/>
      <c r="K23" s="318">
        <v>8361.75</v>
      </c>
      <c r="L23" s="318">
        <v>513327.84</v>
      </c>
      <c r="M23" s="317"/>
      <c r="N23" s="317">
        <f t="shared" ref="N23:N40" si="7">ROUND(M23*D23,2)</f>
        <v>0</v>
      </c>
      <c r="O23" s="317">
        <f t="shared" ref="O23:O25" si="8">M23+K23</f>
        <v>8361.75</v>
      </c>
      <c r="P23" s="318">
        <f t="shared" ref="P23:P25" si="9">L23+N23</f>
        <v>513327.84</v>
      </c>
      <c r="Q23" s="317">
        <f>IF(ISERROR(N23/I23),"",ROUND(N23/I23*100,2))</f>
        <v>0</v>
      </c>
      <c r="R23" s="319">
        <f>IF(ISERROR(P23/I23),"",ROUND(P23/I23*100,2))</f>
        <v>36.020000000000003</v>
      </c>
      <c r="S23" s="181"/>
      <c r="T23" s="205"/>
      <c r="U23" s="254"/>
      <c r="V23" s="181"/>
      <c r="W23" s="181"/>
      <c r="X23" s="181"/>
      <c r="Y23" s="181"/>
      <c r="Z23" s="181"/>
      <c r="AA23" s="181"/>
      <c r="AB23" s="181"/>
      <c r="AC23" s="181"/>
      <c r="AD23" s="181"/>
      <c r="AE23" s="181"/>
      <c r="AF23" s="181"/>
      <c r="AG23" s="181"/>
    </row>
    <row r="24" spans="1:33" ht="13.8">
      <c r="A24" s="239">
        <v>8</v>
      </c>
      <c r="B24" s="219" t="s">
        <v>29</v>
      </c>
      <c r="C24" s="218" t="s">
        <v>10</v>
      </c>
      <c r="D24" s="217">
        <v>18.55</v>
      </c>
      <c r="E24" s="217">
        <v>24098.81</v>
      </c>
      <c r="F24" s="216">
        <f>D24*E24</f>
        <v>447032.93</v>
      </c>
      <c r="G24" s="320">
        <f>+H24-E24</f>
        <v>0</v>
      </c>
      <c r="H24" s="238">
        <v>24098.81</v>
      </c>
      <c r="I24" s="238">
        <f>+H24*D24</f>
        <v>447032.93</v>
      </c>
      <c r="J24" s="237"/>
      <c r="K24" s="321">
        <v>8361.75</v>
      </c>
      <c r="L24" s="321">
        <v>155110.47</v>
      </c>
      <c r="M24" s="235"/>
      <c r="N24" s="235">
        <f t="shared" si="7"/>
        <v>0</v>
      </c>
      <c r="O24" s="235">
        <f t="shared" si="8"/>
        <v>8361.75</v>
      </c>
      <c r="P24" s="321">
        <f t="shared" si="9"/>
        <v>155110.47</v>
      </c>
      <c r="Q24" s="235">
        <f>IF(ISERROR(N24/I24),"",ROUND(N24/I24*100,2))</f>
        <v>0</v>
      </c>
      <c r="R24" s="322">
        <f>IF(ISERROR(P24/I24),"",ROUND(P24/I24*100,2))</f>
        <v>34.700000000000003</v>
      </c>
      <c r="S24" s="181"/>
      <c r="T24" s="205"/>
      <c r="U24" s="254"/>
      <c r="V24" s="181"/>
      <c r="W24" s="181"/>
      <c r="X24" s="181"/>
      <c r="Y24" s="181"/>
      <c r="Z24" s="181"/>
      <c r="AA24" s="181"/>
      <c r="AB24" s="181"/>
      <c r="AC24" s="181"/>
      <c r="AD24" s="181"/>
      <c r="AE24" s="181"/>
      <c r="AF24" s="181"/>
      <c r="AG24" s="181"/>
    </row>
    <row r="25" spans="1:33" ht="13.8">
      <c r="A25" s="323">
        <v>9</v>
      </c>
      <c r="B25" s="215" t="s">
        <v>30</v>
      </c>
      <c r="C25" s="214" t="s">
        <v>18</v>
      </c>
      <c r="D25" s="213">
        <v>44453.32</v>
      </c>
      <c r="E25" s="213">
        <v>0.4</v>
      </c>
      <c r="F25" s="212">
        <f>D25*E25</f>
        <v>17781.330000000002</v>
      </c>
      <c r="G25" s="324">
        <f>+H25-E25</f>
        <v>0</v>
      </c>
      <c r="H25" s="325">
        <v>0.4</v>
      </c>
      <c r="I25" s="325">
        <f>+H25*D25</f>
        <v>17781.330000000002</v>
      </c>
      <c r="J25" s="326"/>
      <c r="K25" s="327">
        <v>13335.11</v>
      </c>
      <c r="L25" s="327">
        <v>10223.86</v>
      </c>
      <c r="M25" s="327"/>
      <c r="N25" s="328">
        <f t="shared" si="7"/>
        <v>0</v>
      </c>
      <c r="O25" s="327">
        <f t="shared" si="8"/>
        <v>13335.11</v>
      </c>
      <c r="P25" s="327">
        <f t="shared" si="9"/>
        <v>10223.86</v>
      </c>
      <c r="Q25" s="328">
        <f>IF(ISERROR(N25/I25),"",ROUND(N25/I25*100,2))</f>
        <v>0</v>
      </c>
      <c r="R25" s="329">
        <f>IF(ISERROR(P25/I25),"",ROUND(P25/I25*100,2))</f>
        <v>57.5</v>
      </c>
      <c r="S25" s="181"/>
      <c r="T25" s="205"/>
      <c r="U25" s="205"/>
      <c r="V25" s="181"/>
      <c r="W25" s="181"/>
      <c r="X25" s="181"/>
      <c r="Y25" s="181"/>
      <c r="Z25" s="181"/>
      <c r="AA25" s="181"/>
      <c r="AB25" s="181"/>
      <c r="AC25" s="181"/>
      <c r="AD25" s="181"/>
      <c r="AE25" s="181"/>
      <c r="AF25" s="181"/>
      <c r="AG25" s="181"/>
    </row>
    <row r="26" spans="1:33" ht="13.5" customHeight="1">
      <c r="A26" s="229"/>
      <c r="B26" s="228" t="s">
        <v>31</v>
      </c>
      <c r="C26" s="227"/>
      <c r="D26" s="226"/>
      <c r="E26" s="226"/>
      <c r="F26" s="225"/>
      <c r="G26" s="226"/>
      <c r="H26" s="225"/>
      <c r="I26" s="225"/>
      <c r="J26" s="224"/>
      <c r="K26" s="223"/>
      <c r="L26" s="222"/>
      <c r="M26" s="221"/>
      <c r="N26" s="221"/>
      <c r="O26" s="222"/>
      <c r="P26" s="222"/>
      <c r="Q26" s="221"/>
      <c r="R26" s="220"/>
      <c r="S26" s="181"/>
      <c r="T26" s="205"/>
      <c r="U26" s="205"/>
      <c r="V26" s="181"/>
      <c r="W26" s="181"/>
      <c r="X26" s="181"/>
      <c r="Y26" s="181"/>
      <c r="Z26" s="181"/>
      <c r="AA26" s="181"/>
      <c r="AB26" s="181"/>
      <c r="AC26" s="181"/>
      <c r="AD26" s="181"/>
      <c r="AE26" s="181"/>
      <c r="AF26" s="181"/>
      <c r="AG26" s="181"/>
    </row>
    <row r="27" spans="1:33" ht="13.8">
      <c r="A27" s="313">
        <v>10</v>
      </c>
      <c r="B27" s="241" t="s">
        <v>32</v>
      </c>
      <c r="C27" s="234" t="s">
        <v>18</v>
      </c>
      <c r="D27" s="233">
        <v>3848.37</v>
      </c>
      <c r="E27" s="233">
        <v>0.2</v>
      </c>
      <c r="F27" s="240">
        <f t="shared" ref="F27:F40" si="10">D27*E27</f>
        <v>769.67</v>
      </c>
      <c r="G27" s="314">
        <f t="shared" ref="G27:G40" si="11">+H27-E27</f>
        <v>0</v>
      </c>
      <c r="H27" s="315">
        <v>0.2</v>
      </c>
      <c r="I27" s="315">
        <f t="shared" ref="I27:I40" si="12">+H27*D27</f>
        <v>769.67</v>
      </c>
      <c r="J27" s="330"/>
      <c r="K27" s="315">
        <v>3848.37</v>
      </c>
      <c r="L27" s="318">
        <v>769.67</v>
      </c>
      <c r="M27" s="317"/>
      <c r="N27" s="317">
        <f t="shared" si="7"/>
        <v>0</v>
      </c>
      <c r="O27" s="318">
        <f t="shared" ref="O27:O40" si="13">M27+K27</f>
        <v>3848.37</v>
      </c>
      <c r="P27" s="318">
        <f t="shared" ref="P27:P40" si="14">L27+N27</f>
        <v>769.67</v>
      </c>
      <c r="Q27" s="317">
        <f t="shared" ref="Q27:Q40" si="15">IF(ISERROR(N27/I27),"",ROUND(N27/I27*100,2))</f>
        <v>0</v>
      </c>
      <c r="R27" s="319">
        <f t="shared" ref="R27:R40" si="16">IF(ISERROR(P27/I27),"",ROUND(P27/I27*100,2))</f>
        <v>100</v>
      </c>
      <c r="S27" s="181"/>
      <c r="T27" s="205"/>
      <c r="U27" s="205"/>
      <c r="V27" s="181"/>
      <c r="W27" s="181"/>
      <c r="X27" s="181"/>
      <c r="Y27" s="181"/>
      <c r="Z27" s="181"/>
      <c r="AA27" s="181"/>
      <c r="AB27" s="181"/>
      <c r="AC27" s="181"/>
      <c r="AD27" s="181"/>
      <c r="AE27" s="181"/>
      <c r="AF27" s="181"/>
      <c r="AG27" s="181"/>
    </row>
    <row r="28" spans="1:33" s="244" customFormat="1" ht="13.8">
      <c r="A28" s="239">
        <f t="shared" ref="A28:A40" si="17">1+A27</f>
        <v>11</v>
      </c>
      <c r="B28" s="219" t="s">
        <v>33</v>
      </c>
      <c r="C28" s="218" t="s">
        <v>10</v>
      </c>
      <c r="D28" s="217">
        <v>27.03</v>
      </c>
      <c r="E28" s="217">
        <v>7899.85</v>
      </c>
      <c r="F28" s="216">
        <f t="shared" si="10"/>
        <v>213532.95</v>
      </c>
      <c r="G28" s="320">
        <f t="shared" si="11"/>
        <v>0</v>
      </c>
      <c r="H28" s="238">
        <v>7899.85</v>
      </c>
      <c r="I28" s="238">
        <f t="shared" si="12"/>
        <v>213532.95</v>
      </c>
      <c r="J28" s="237"/>
      <c r="K28" s="238">
        <v>2574</v>
      </c>
      <c r="L28" s="321">
        <v>69575.22</v>
      </c>
      <c r="M28" s="235">
        <v>299</v>
      </c>
      <c r="N28" s="235">
        <f t="shared" si="7"/>
        <v>8081.97</v>
      </c>
      <c r="O28" s="321">
        <f t="shared" si="13"/>
        <v>2873</v>
      </c>
      <c r="P28" s="321">
        <f t="shared" si="14"/>
        <v>77657.19</v>
      </c>
      <c r="Q28" s="235">
        <f t="shared" si="15"/>
        <v>3.78</v>
      </c>
      <c r="R28" s="322">
        <f t="shared" si="16"/>
        <v>36.369999999999997</v>
      </c>
      <c r="S28" s="181"/>
      <c r="T28" s="246"/>
      <c r="U28" s="245"/>
      <c r="V28" s="247"/>
    </row>
    <row r="29" spans="1:33" s="244" customFormat="1" ht="15.75" customHeight="1">
      <c r="A29" s="239">
        <f t="shared" si="17"/>
        <v>12</v>
      </c>
      <c r="B29" s="219" t="s">
        <v>34</v>
      </c>
      <c r="C29" s="218" t="s">
        <v>10</v>
      </c>
      <c r="D29" s="217">
        <v>652.63</v>
      </c>
      <c r="E29" s="217">
        <v>1522.75</v>
      </c>
      <c r="F29" s="216">
        <f t="shared" si="10"/>
        <v>993792.33</v>
      </c>
      <c r="G29" s="320">
        <f t="shared" si="11"/>
        <v>3076.2</v>
      </c>
      <c r="H29" s="238">
        <v>4598.95</v>
      </c>
      <c r="I29" s="238">
        <f t="shared" si="12"/>
        <v>3001412.74</v>
      </c>
      <c r="J29" s="237"/>
      <c r="K29" s="238">
        <v>2081.09</v>
      </c>
      <c r="L29" s="321">
        <v>1358181.76</v>
      </c>
      <c r="M29" s="235">
        <v>796.52</v>
      </c>
      <c r="N29" s="235">
        <f t="shared" si="7"/>
        <v>519832.85</v>
      </c>
      <c r="O29" s="321">
        <f t="shared" si="13"/>
        <v>2877.61</v>
      </c>
      <c r="P29" s="362">
        <f t="shared" si="14"/>
        <v>1878014.61</v>
      </c>
      <c r="Q29" s="235">
        <f t="shared" si="15"/>
        <v>17.32</v>
      </c>
      <c r="R29" s="322">
        <f t="shared" si="16"/>
        <v>62.57</v>
      </c>
      <c r="S29" s="181"/>
      <c r="T29" s="246"/>
      <c r="U29" s="245"/>
      <c r="V29" s="247"/>
    </row>
    <row r="30" spans="1:33" s="249" customFormat="1" ht="13.8">
      <c r="A30" s="239">
        <f t="shared" si="17"/>
        <v>13</v>
      </c>
      <c r="B30" s="219" t="s">
        <v>35</v>
      </c>
      <c r="C30" s="218" t="s">
        <v>10</v>
      </c>
      <c r="D30" s="217">
        <v>1801.53</v>
      </c>
      <c r="E30" s="217">
        <v>837.96</v>
      </c>
      <c r="F30" s="216">
        <f t="shared" si="10"/>
        <v>1509610.08</v>
      </c>
      <c r="G30" s="320">
        <f t="shared" si="11"/>
        <v>-236.8</v>
      </c>
      <c r="H30" s="238">
        <v>601.16</v>
      </c>
      <c r="I30" s="238">
        <f t="shared" si="12"/>
        <v>1083007.77</v>
      </c>
      <c r="J30" s="237"/>
      <c r="K30" s="238">
        <v>45.08</v>
      </c>
      <c r="L30" s="321">
        <v>81212.97</v>
      </c>
      <c r="M30" s="235"/>
      <c r="N30" s="235">
        <f t="shared" si="7"/>
        <v>0</v>
      </c>
      <c r="O30" s="321">
        <f t="shared" si="13"/>
        <v>45.08</v>
      </c>
      <c r="P30" s="321">
        <f t="shared" si="14"/>
        <v>81212.97</v>
      </c>
      <c r="Q30" s="235">
        <f t="shared" si="15"/>
        <v>0</v>
      </c>
      <c r="R30" s="322">
        <f t="shared" si="16"/>
        <v>7.5</v>
      </c>
      <c r="S30" s="181"/>
      <c r="T30" s="252"/>
      <c r="U30" s="251"/>
      <c r="V30" s="250"/>
    </row>
    <row r="31" spans="1:33" s="249" customFormat="1" ht="13.8">
      <c r="A31" s="239">
        <f t="shared" si="17"/>
        <v>14</v>
      </c>
      <c r="B31" s="219" t="s">
        <v>36</v>
      </c>
      <c r="C31" s="218" t="s">
        <v>46</v>
      </c>
      <c r="D31" s="217">
        <v>15.35</v>
      </c>
      <c r="E31" s="217">
        <v>108768.82</v>
      </c>
      <c r="F31" s="216">
        <f t="shared" si="10"/>
        <v>1669601.39</v>
      </c>
      <c r="G31" s="320">
        <f t="shared" si="11"/>
        <v>0</v>
      </c>
      <c r="H31" s="238">
        <v>108768.82</v>
      </c>
      <c r="I31" s="238">
        <f t="shared" si="12"/>
        <v>1669601.39</v>
      </c>
      <c r="J31" s="237"/>
      <c r="K31" s="238">
        <v>7515.21</v>
      </c>
      <c r="L31" s="321">
        <v>115358.47</v>
      </c>
      <c r="M31" s="235"/>
      <c r="N31" s="235">
        <f t="shared" si="7"/>
        <v>0</v>
      </c>
      <c r="O31" s="321">
        <f t="shared" si="13"/>
        <v>7515.21</v>
      </c>
      <c r="P31" s="321">
        <f t="shared" si="14"/>
        <v>115358.47</v>
      </c>
      <c r="Q31" s="235">
        <f t="shared" si="15"/>
        <v>0</v>
      </c>
      <c r="R31" s="322">
        <f t="shared" si="16"/>
        <v>6.91</v>
      </c>
      <c r="S31" s="181"/>
      <c r="T31" s="252"/>
      <c r="U31" s="251"/>
      <c r="V31" s="250"/>
    </row>
    <row r="32" spans="1:33" s="249" customFormat="1" ht="13.8">
      <c r="A32" s="239">
        <f t="shared" si="17"/>
        <v>15</v>
      </c>
      <c r="B32" s="219" t="s">
        <v>37</v>
      </c>
      <c r="C32" s="218" t="s">
        <v>10</v>
      </c>
      <c r="D32" s="217">
        <v>79.53</v>
      </c>
      <c r="E32" s="217">
        <v>74.010000000000005</v>
      </c>
      <c r="F32" s="216">
        <f t="shared" si="10"/>
        <v>5886.02</v>
      </c>
      <c r="G32" s="320">
        <f t="shared" si="11"/>
        <v>-34.26</v>
      </c>
      <c r="H32" s="238">
        <v>39.75</v>
      </c>
      <c r="I32" s="238">
        <f t="shared" si="12"/>
        <v>3161.32</v>
      </c>
      <c r="J32" s="237"/>
      <c r="K32" s="238">
        <v>14.7</v>
      </c>
      <c r="L32" s="321">
        <v>1169.0999999999999</v>
      </c>
      <c r="M32" s="235"/>
      <c r="N32" s="235">
        <f t="shared" si="7"/>
        <v>0</v>
      </c>
      <c r="O32" s="321">
        <f t="shared" si="13"/>
        <v>14.7</v>
      </c>
      <c r="P32" s="321">
        <f t="shared" si="14"/>
        <v>1169.0999999999999</v>
      </c>
      <c r="Q32" s="235">
        <f t="shared" si="15"/>
        <v>0</v>
      </c>
      <c r="R32" s="322">
        <f t="shared" si="16"/>
        <v>36.979999999999997</v>
      </c>
      <c r="S32" s="181"/>
      <c r="T32" s="252"/>
      <c r="U32" s="251"/>
      <c r="V32" s="250"/>
    </row>
    <row r="33" spans="1:22" s="249" customFormat="1" ht="13.8">
      <c r="A33" s="239">
        <f t="shared" si="17"/>
        <v>16</v>
      </c>
      <c r="B33" s="219" t="s">
        <v>38</v>
      </c>
      <c r="C33" s="218" t="s">
        <v>10</v>
      </c>
      <c r="D33" s="217">
        <v>59.3</v>
      </c>
      <c r="E33" s="217">
        <v>30077.59</v>
      </c>
      <c r="F33" s="216">
        <f t="shared" si="10"/>
        <v>1783601.09</v>
      </c>
      <c r="G33" s="320">
        <f t="shared" si="11"/>
        <v>-24444.22</v>
      </c>
      <c r="H33" s="238">
        <v>5633.37</v>
      </c>
      <c r="I33" s="238">
        <f t="shared" si="12"/>
        <v>334058.84000000003</v>
      </c>
      <c r="J33" s="237"/>
      <c r="K33" s="238">
        <v>2600.83</v>
      </c>
      <c r="L33" s="321">
        <v>154229.22</v>
      </c>
      <c r="M33" s="235">
        <v>351.99</v>
      </c>
      <c r="N33" s="235">
        <f t="shared" si="7"/>
        <v>20873.009999999998</v>
      </c>
      <c r="O33" s="321">
        <f t="shared" si="13"/>
        <v>2952.82</v>
      </c>
      <c r="P33" s="321">
        <f t="shared" si="14"/>
        <v>175102.23</v>
      </c>
      <c r="Q33" s="235">
        <f t="shared" si="15"/>
        <v>6.25</v>
      </c>
      <c r="R33" s="322">
        <f t="shared" si="16"/>
        <v>52.42</v>
      </c>
      <c r="S33" s="181"/>
      <c r="T33" s="252"/>
      <c r="U33" s="251"/>
      <c r="V33" s="250"/>
    </row>
    <row r="34" spans="1:22" s="249" customFormat="1" ht="13.8">
      <c r="A34" s="239">
        <f t="shared" si="17"/>
        <v>17</v>
      </c>
      <c r="B34" s="219" t="s">
        <v>39</v>
      </c>
      <c r="C34" s="218" t="s">
        <v>25</v>
      </c>
      <c r="D34" s="217">
        <v>213.4</v>
      </c>
      <c r="E34" s="217">
        <v>384.62</v>
      </c>
      <c r="F34" s="216">
        <f t="shared" si="10"/>
        <v>82077.91</v>
      </c>
      <c r="G34" s="320">
        <f t="shared" si="11"/>
        <v>0</v>
      </c>
      <c r="H34" s="238">
        <v>384.62</v>
      </c>
      <c r="I34" s="238">
        <f t="shared" si="12"/>
        <v>82077.91</v>
      </c>
      <c r="J34" s="237"/>
      <c r="K34" s="320">
        <v>0</v>
      </c>
      <c r="L34" s="321">
        <v>0</v>
      </c>
      <c r="M34" s="235"/>
      <c r="N34" s="235">
        <f t="shared" si="7"/>
        <v>0</v>
      </c>
      <c r="O34" s="321">
        <f t="shared" si="13"/>
        <v>0</v>
      </c>
      <c r="P34" s="321">
        <f t="shared" si="14"/>
        <v>0</v>
      </c>
      <c r="Q34" s="235">
        <f t="shared" si="15"/>
        <v>0</v>
      </c>
      <c r="R34" s="322">
        <f t="shared" si="16"/>
        <v>0</v>
      </c>
      <c r="S34" s="181"/>
      <c r="T34" s="252"/>
      <c r="U34" s="251"/>
      <c r="V34" s="250"/>
    </row>
    <row r="35" spans="1:22" ht="13.8">
      <c r="A35" s="239">
        <f t="shared" si="17"/>
        <v>18</v>
      </c>
      <c r="B35" s="219" t="s">
        <v>40</v>
      </c>
      <c r="C35" s="218" t="s">
        <v>25</v>
      </c>
      <c r="D35" s="217">
        <v>127.61</v>
      </c>
      <c r="E35" s="217">
        <v>795</v>
      </c>
      <c r="F35" s="216">
        <f t="shared" si="10"/>
        <v>101449.95</v>
      </c>
      <c r="G35" s="320">
        <f t="shared" si="11"/>
        <v>0</v>
      </c>
      <c r="H35" s="238">
        <v>795</v>
      </c>
      <c r="I35" s="238">
        <f t="shared" si="12"/>
        <v>101449.95</v>
      </c>
      <c r="J35" s="237"/>
      <c r="K35" s="236">
        <v>0</v>
      </c>
      <c r="L35" s="321">
        <v>0</v>
      </c>
      <c r="M35" s="235"/>
      <c r="N35" s="235">
        <f t="shared" si="7"/>
        <v>0</v>
      </c>
      <c r="O35" s="235">
        <f t="shared" si="13"/>
        <v>0</v>
      </c>
      <c r="P35" s="321">
        <f t="shared" si="14"/>
        <v>0</v>
      </c>
      <c r="Q35" s="235">
        <f t="shared" si="15"/>
        <v>0</v>
      </c>
      <c r="R35" s="322">
        <f t="shared" si="16"/>
        <v>0</v>
      </c>
      <c r="S35" s="181"/>
      <c r="T35" s="205"/>
      <c r="V35" s="181"/>
    </row>
    <row r="36" spans="1:22" ht="13.8">
      <c r="A36" s="239">
        <f t="shared" si="17"/>
        <v>19</v>
      </c>
      <c r="B36" s="219" t="s">
        <v>41</v>
      </c>
      <c r="C36" s="218" t="s">
        <v>10</v>
      </c>
      <c r="D36" s="217">
        <v>474.36</v>
      </c>
      <c r="E36" s="217">
        <v>1717</v>
      </c>
      <c r="F36" s="216">
        <f t="shared" si="10"/>
        <v>814476.12</v>
      </c>
      <c r="G36" s="320">
        <f t="shared" si="11"/>
        <v>-717</v>
      </c>
      <c r="H36" s="238">
        <v>1000</v>
      </c>
      <c r="I36" s="238">
        <f t="shared" si="12"/>
        <v>474360</v>
      </c>
      <c r="J36" s="237"/>
      <c r="K36" s="238">
        <v>497.5</v>
      </c>
      <c r="L36" s="321">
        <v>235994.1</v>
      </c>
      <c r="M36" s="235"/>
      <c r="N36" s="235">
        <f t="shared" si="7"/>
        <v>0</v>
      </c>
      <c r="O36" s="235">
        <f t="shared" si="13"/>
        <v>497.5</v>
      </c>
      <c r="P36" s="321">
        <f t="shared" si="14"/>
        <v>235994.1</v>
      </c>
      <c r="Q36" s="235">
        <f t="shared" si="15"/>
        <v>0</v>
      </c>
      <c r="R36" s="322">
        <f t="shared" si="16"/>
        <v>49.75</v>
      </c>
      <c r="S36" s="181"/>
      <c r="T36" s="205"/>
      <c r="V36" s="181"/>
    </row>
    <row r="37" spans="1:22" s="249" customFormat="1" ht="13.8">
      <c r="A37" s="239">
        <f t="shared" si="17"/>
        <v>20</v>
      </c>
      <c r="B37" s="219" t="s">
        <v>42</v>
      </c>
      <c r="C37" s="218" t="s">
        <v>47</v>
      </c>
      <c r="D37" s="217">
        <v>111.72</v>
      </c>
      <c r="E37" s="217">
        <v>18000</v>
      </c>
      <c r="F37" s="216">
        <f t="shared" si="10"/>
        <v>2010960</v>
      </c>
      <c r="G37" s="320">
        <f t="shared" si="11"/>
        <v>-10989.12</v>
      </c>
      <c r="H37" s="345">
        <v>7010.8841000000002</v>
      </c>
      <c r="I37" s="238">
        <f t="shared" si="12"/>
        <v>783255.97</v>
      </c>
      <c r="J37" s="237"/>
      <c r="K37" s="236">
        <v>0</v>
      </c>
      <c r="L37" s="321">
        <v>0</v>
      </c>
      <c r="M37" s="235"/>
      <c r="N37" s="235">
        <f t="shared" si="7"/>
        <v>0</v>
      </c>
      <c r="O37" s="235">
        <f t="shared" si="13"/>
        <v>0</v>
      </c>
      <c r="P37" s="321">
        <f t="shared" si="14"/>
        <v>0</v>
      </c>
      <c r="Q37" s="235">
        <f t="shared" si="15"/>
        <v>0</v>
      </c>
      <c r="R37" s="322">
        <f t="shared" si="16"/>
        <v>0</v>
      </c>
      <c r="S37" s="181"/>
      <c r="T37" s="252"/>
      <c r="U37" s="251"/>
      <c r="V37" s="250"/>
    </row>
    <row r="38" spans="1:22" s="249" customFormat="1" ht="13.8">
      <c r="A38" s="239">
        <f t="shared" si="17"/>
        <v>21</v>
      </c>
      <c r="B38" s="219" t="s">
        <v>43</v>
      </c>
      <c r="C38" s="218" t="s">
        <v>47</v>
      </c>
      <c r="D38" s="217">
        <v>1596.02</v>
      </c>
      <c r="E38" s="217">
        <v>343.55</v>
      </c>
      <c r="F38" s="216">
        <f t="shared" si="10"/>
        <v>548312.67000000004</v>
      </c>
      <c r="G38" s="320">
        <f t="shared" si="11"/>
        <v>0</v>
      </c>
      <c r="H38" s="238">
        <v>343.55</v>
      </c>
      <c r="I38" s="238">
        <f t="shared" si="12"/>
        <v>548312.67000000004</v>
      </c>
      <c r="J38" s="237"/>
      <c r="K38" s="236">
        <v>133</v>
      </c>
      <c r="L38" s="321">
        <v>212270.66</v>
      </c>
      <c r="M38" s="235"/>
      <c r="N38" s="235">
        <f t="shared" si="7"/>
        <v>0</v>
      </c>
      <c r="O38" s="235">
        <f t="shared" si="13"/>
        <v>133</v>
      </c>
      <c r="P38" s="321">
        <f t="shared" si="14"/>
        <v>212270.66</v>
      </c>
      <c r="Q38" s="235">
        <f t="shared" si="15"/>
        <v>0</v>
      </c>
      <c r="R38" s="322">
        <f t="shared" si="16"/>
        <v>38.71</v>
      </c>
      <c r="S38" s="181"/>
      <c r="T38" s="252"/>
      <c r="U38" s="251"/>
      <c r="V38" s="250"/>
    </row>
    <row r="39" spans="1:22" ht="13.8">
      <c r="A39" s="239">
        <f t="shared" si="17"/>
        <v>22</v>
      </c>
      <c r="B39" s="219" t="s">
        <v>44</v>
      </c>
      <c r="C39" s="218" t="s">
        <v>10</v>
      </c>
      <c r="D39" s="217">
        <v>638.48</v>
      </c>
      <c r="E39" s="217">
        <v>70.819999999999993</v>
      </c>
      <c r="F39" s="216">
        <f t="shared" si="10"/>
        <v>45217.15</v>
      </c>
      <c r="G39" s="320">
        <f t="shared" si="11"/>
        <v>0</v>
      </c>
      <c r="H39" s="238">
        <v>70.819999999999993</v>
      </c>
      <c r="I39" s="238">
        <f t="shared" si="12"/>
        <v>45217.15</v>
      </c>
      <c r="J39" s="237"/>
      <c r="K39" s="236">
        <v>0</v>
      </c>
      <c r="L39" s="321">
        <v>0</v>
      </c>
      <c r="M39" s="235"/>
      <c r="N39" s="235">
        <f t="shared" si="7"/>
        <v>0</v>
      </c>
      <c r="O39" s="235">
        <f t="shared" si="13"/>
        <v>0</v>
      </c>
      <c r="P39" s="321">
        <f t="shared" si="14"/>
        <v>0</v>
      </c>
      <c r="Q39" s="235">
        <f t="shared" si="15"/>
        <v>0</v>
      </c>
      <c r="R39" s="322">
        <f t="shared" si="16"/>
        <v>0</v>
      </c>
      <c r="S39" s="181"/>
      <c r="T39" s="205"/>
      <c r="V39" s="181"/>
    </row>
    <row r="40" spans="1:22" ht="13.8">
      <c r="A40" s="323">
        <f t="shared" si="17"/>
        <v>23</v>
      </c>
      <c r="B40" s="215" t="s">
        <v>45</v>
      </c>
      <c r="C40" s="214" t="s">
        <v>47</v>
      </c>
      <c r="D40" s="213">
        <v>44.35</v>
      </c>
      <c r="E40" s="213">
        <v>2726.08</v>
      </c>
      <c r="F40" s="212">
        <f t="shared" si="10"/>
        <v>120901.65</v>
      </c>
      <c r="G40" s="324">
        <f t="shared" si="11"/>
        <v>0</v>
      </c>
      <c r="H40" s="325">
        <v>2726.08</v>
      </c>
      <c r="I40" s="325">
        <f t="shared" si="12"/>
        <v>120901.65</v>
      </c>
      <c r="J40" s="326"/>
      <c r="K40" s="331">
        <v>0</v>
      </c>
      <c r="L40" s="327">
        <v>0</v>
      </c>
      <c r="M40" s="328"/>
      <c r="N40" s="328">
        <f t="shared" si="7"/>
        <v>0</v>
      </c>
      <c r="O40" s="328">
        <f t="shared" si="13"/>
        <v>0</v>
      </c>
      <c r="P40" s="327">
        <f t="shared" si="14"/>
        <v>0</v>
      </c>
      <c r="Q40" s="328">
        <f t="shared" si="15"/>
        <v>0</v>
      </c>
      <c r="R40" s="329">
        <f t="shared" si="16"/>
        <v>0</v>
      </c>
      <c r="S40" s="181"/>
      <c r="T40" s="205"/>
      <c r="V40" s="181"/>
    </row>
    <row r="41" spans="1:22" ht="13.8">
      <c r="A41" s="229"/>
      <c r="B41" s="228" t="s">
        <v>48</v>
      </c>
      <c r="C41" s="227"/>
      <c r="D41" s="226"/>
      <c r="E41" s="226"/>
      <c r="F41" s="225"/>
      <c r="G41" s="226"/>
      <c r="H41" s="225"/>
      <c r="I41" s="225"/>
      <c r="J41" s="224"/>
      <c r="K41" s="223"/>
      <c r="L41" s="221"/>
      <c r="M41" s="221"/>
      <c r="N41" s="221"/>
      <c r="O41" s="221"/>
      <c r="P41" s="222"/>
      <c r="Q41" s="221"/>
      <c r="R41" s="220"/>
      <c r="S41" s="181"/>
      <c r="T41" s="205"/>
      <c r="V41" s="181"/>
    </row>
    <row r="42" spans="1:22" ht="13.8">
      <c r="A42" s="313">
        <v>24</v>
      </c>
      <c r="B42" s="241" t="s">
        <v>17</v>
      </c>
      <c r="C42" s="234" t="s">
        <v>18</v>
      </c>
      <c r="D42" s="233">
        <v>47860.38</v>
      </c>
      <c r="E42" s="233">
        <v>1</v>
      </c>
      <c r="F42" s="240">
        <f t="shared" ref="F42:F55" si="18">D42*E42</f>
        <v>47860.38</v>
      </c>
      <c r="G42" s="314">
        <f t="shared" ref="G42:G55" si="19">+H42-E42</f>
        <v>0</v>
      </c>
      <c r="H42" s="315">
        <v>1</v>
      </c>
      <c r="I42" s="315">
        <f t="shared" ref="I42:I55" si="20">+H42*D42</f>
        <v>47860.38</v>
      </c>
      <c r="J42" s="330"/>
      <c r="K42" s="315">
        <v>1</v>
      </c>
      <c r="L42" s="318">
        <v>47860.38</v>
      </c>
      <c r="M42" s="317"/>
      <c r="N42" s="317">
        <f t="shared" ref="N42:N55" si="21">ROUND(M42*D42,2)</f>
        <v>0</v>
      </c>
      <c r="O42" s="317">
        <f t="shared" ref="O42:O55" si="22">M42+K42</f>
        <v>1</v>
      </c>
      <c r="P42" s="318">
        <f t="shared" ref="P42:P55" si="23">L42+N42</f>
        <v>47860.38</v>
      </c>
      <c r="Q42" s="317">
        <f t="shared" ref="Q42:Q55" si="24">IF(ISERROR(N42/I42),"",ROUND(N42/I42*100,2))</f>
        <v>0</v>
      </c>
      <c r="R42" s="319">
        <f t="shared" ref="R42:R55" si="25">IF(ISERROR(P42/I42),"",ROUND(P42/I42*100,2))</f>
        <v>100</v>
      </c>
      <c r="S42" s="181"/>
      <c r="T42" s="205"/>
    </row>
    <row r="43" spans="1:22" ht="13.8">
      <c r="A43" s="239">
        <f t="shared" ref="A43:A55" si="26">1+A42</f>
        <v>25</v>
      </c>
      <c r="B43" s="219" t="s">
        <v>32</v>
      </c>
      <c r="C43" s="218" t="s">
        <v>18</v>
      </c>
      <c r="D43" s="217">
        <v>3848.37</v>
      </c>
      <c r="E43" s="217">
        <v>1</v>
      </c>
      <c r="F43" s="216">
        <f t="shared" si="18"/>
        <v>3848.37</v>
      </c>
      <c r="G43" s="320">
        <f t="shared" si="19"/>
        <v>0</v>
      </c>
      <c r="H43" s="238">
        <v>1</v>
      </c>
      <c r="I43" s="238">
        <f t="shared" si="20"/>
        <v>3848.37</v>
      </c>
      <c r="J43" s="237"/>
      <c r="K43" s="238">
        <v>1</v>
      </c>
      <c r="L43" s="321">
        <v>3848.37</v>
      </c>
      <c r="M43" s="235"/>
      <c r="N43" s="235">
        <f t="shared" si="21"/>
        <v>0</v>
      </c>
      <c r="O43" s="235">
        <f t="shared" si="22"/>
        <v>1</v>
      </c>
      <c r="P43" s="321">
        <f t="shared" si="23"/>
        <v>3848.37</v>
      </c>
      <c r="Q43" s="235">
        <f t="shared" si="24"/>
        <v>0</v>
      </c>
      <c r="R43" s="322">
        <f t="shared" si="25"/>
        <v>100</v>
      </c>
      <c r="S43" s="181"/>
      <c r="T43" s="205"/>
    </row>
    <row r="44" spans="1:22" s="244" customFormat="1" ht="13.8">
      <c r="A44" s="239">
        <f t="shared" si="26"/>
        <v>26</v>
      </c>
      <c r="B44" s="219" t="s">
        <v>49</v>
      </c>
      <c r="C44" s="218" t="s">
        <v>10</v>
      </c>
      <c r="D44" s="217">
        <v>27.03</v>
      </c>
      <c r="E44" s="217">
        <v>797</v>
      </c>
      <c r="F44" s="216">
        <f t="shared" si="18"/>
        <v>21542.91</v>
      </c>
      <c r="G44" s="320">
        <f t="shared" si="19"/>
        <v>295.10000000000002</v>
      </c>
      <c r="H44" s="238">
        <v>1092.0999999999999</v>
      </c>
      <c r="I44" s="238">
        <f t="shared" si="20"/>
        <v>29519.46</v>
      </c>
      <c r="J44" s="237"/>
      <c r="K44" s="236">
        <v>0</v>
      </c>
      <c r="L44" s="321">
        <v>0</v>
      </c>
      <c r="M44" s="235"/>
      <c r="N44" s="235">
        <f t="shared" si="21"/>
        <v>0</v>
      </c>
      <c r="O44" s="235">
        <f t="shared" si="22"/>
        <v>0</v>
      </c>
      <c r="P44" s="321">
        <f t="shared" si="23"/>
        <v>0</v>
      </c>
      <c r="Q44" s="235">
        <f t="shared" si="24"/>
        <v>0</v>
      </c>
      <c r="R44" s="322">
        <f t="shared" si="25"/>
        <v>0</v>
      </c>
      <c r="S44" s="181"/>
      <c r="T44" s="246"/>
      <c r="U44" s="245"/>
    </row>
    <row r="45" spans="1:22" s="244" customFormat="1" ht="13.8">
      <c r="A45" s="239">
        <f t="shared" si="26"/>
        <v>27</v>
      </c>
      <c r="B45" s="219" t="s">
        <v>35</v>
      </c>
      <c r="C45" s="218" t="s">
        <v>10</v>
      </c>
      <c r="D45" s="217">
        <v>1801.53</v>
      </c>
      <c r="E45" s="217">
        <v>486.72</v>
      </c>
      <c r="F45" s="216">
        <f t="shared" si="18"/>
        <v>876840.68</v>
      </c>
      <c r="G45" s="320">
        <f t="shared" si="19"/>
        <v>150.13999999999999</v>
      </c>
      <c r="H45" s="238">
        <v>636.86</v>
      </c>
      <c r="I45" s="238">
        <f t="shared" si="20"/>
        <v>1147322.3999999999</v>
      </c>
      <c r="J45" s="237"/>
      <c r="K45" s="236">
        <v>0</v>
      </c>
      <c r="L45" s="321">
        <v>0</v>
      </c>
      <c r="M45" s="235"/>
      <c r="N45" s="235">
        <f t="shared" si="21"/>
        <v>0</v>
      </c>
      <c r="O45" s="235">
        <f t="shared" si="22"/>
        <v>0</v>
      </c>
      <c r="P45" s="321">
        <f t="shared" si="23"/>
        <v>0</v>
      </c>
      <c r="Q45" s="235">
        <f t="shared" si="24"/>
        <v>0</v>
      </c>
      <c r="R45" s="322">
        <f t="shared" si="25"/>
        <v>0</v>
      </c>
      <c r="S45" s="181"/>
      <c r="T45" s="246"/>
      <c r="U45" s="245"/>
    </row>
    <row r="46" spans="1:22" s="244" customFormat="1" ht="13.8">
      <c r="A46" s="239">
        <f t="shared" si="26"/>
        <v>28</v>
      </c>
      <c r="B46" s="219" t="s">
        <v>36</v>
      </c>
      <c r="C46" s="218" t="s">
        <v>46</v>
      </c>
      <c r="D46" s="217">
        <v>15.35</v>
      </c>
      <c r="E46" s="217">
        <v>31927.89</v>
      </c>
      <c r="F46" s="216">
        <f t="shared" si="18"/>
        <v>490093.11</v>
      </c>
      <c r="G46" s="320">
        <f t="shared" si="19"/>
        <v>-984.49</v>
      </c>
      <c r="H46" s="238">
        <v>30943.4</v>
      </c>
      <c r="I46" s="238">
        <f t="shared" si="20"/>
        <v>474981.19</v>
      </c>
      <c r="J46" s="237"/>
      <c r="K46" s="238">
        <v>6315.96</v>
      </c>
      <c r="L46" s="321">
        <v>96949.99</v>
      </c>
      <c r="M46" s="235"/>
      <c r="N46" s="235">
        <f t="shared" si="21"/>
        <v>0</v>
      </c>
      <c r="O46" s="235">
        <f t="shared" si="22"/>
        <v>6315.96</v>
      </c>
      <c r="P46" s="321">
        <f t="shared" si="23"/>
        <v>96949.99</v>
      </c>
      <c r="Q46" s="235">
        <f t="shared" si="24"/>
        <v>0</v>
      </c>
      <c r="R46" s="322">
        <f t="shared" si="25"/>
        <v>20.41</v>
      </c>
      <c r="S46" s="181"/>
      <c r="T46" s="246"/>
      <c r="U46" s="245"/>
    </row>
    <row r="47" spans="1:22" ht="13.8">
      <c r="A47" s="239">
        <f t="shared" si="26"/>
        <v>29</v>
      </c>
      <c r="B47" s="219" t="s">
        <v>50</v>
      </c>
      <c r="C47" s="218" t="s">
        <v>47</v>
      </c>
      <c r="D47" s="217">
        <v>3943.09</v>
      </c>
      <c r="E47" s="217">
        <v>105</v>
      </c>
      <c r="F47" s="216">
        <f t="shared" si="18"/>
        <v>414024.45</v>
      </c>
      <c r="G47" s="320">
        <f t="shared" si="19"/>
        <v>35</v>
      </c>
      <c r="H47" s="238">
        <v>140</v>
      </c>
      <c r="I47" s="238">
        <f t="shared" si="20"/>
        <v>552032.6</v>
      </c>
      <c r="J47" s="237"/>
      <c r="K47" s="238">
        <v>0</v>
      </c>
      <c r="L47" s="321">
        <v>0</v>
      </c>
      <c r="M47" s="235">
        <v>140</v>
      </c>
      <c r="N47" s="235">
        <f t="shared" si="21"/>
        <v>552032.6</v>
      </c>
      <c r="O47" s="235">
        <f t="shared" si="22"/>
        <v>140</v>
      </c>
      <c r="P47" s="321">
        <f t="shared" si="23"/>
        <v>552032.6</v>
      </c>
      <c r="Q47" s="235">
        <f t="shared" si="24"/>
        <v>100</v>
      </c>
      <c r="R47" s="322">
        <f t="shared" si="25"/>
        <v>100</v>
      </c>
      <c r="S47" s="181"/>
      <c r="T47" s="205"/>
    </row>
    <row r="48" spans="1:22" ht="13.8">
      <c r="A48" s="239">
        <f t="shared" si="26"/>
        <v>30</v>
      </c>
      <c r="B48" s="219" t="s">
        <v>51</v>
      </c>
      <c r="C48" s="218" t="s">
        <v>58</v>
      </c>
      <c r="D48" s="217">
        <v>403.4</v>
      </c>
      <c r="E48" s="217">
        <v>48</v>
      </c>
      <c r="F48" s="216">
        <f t="shared" si="18"/>
        <v>19363.2</v>
      </c>
      <c r="G48" s="320">
        <f t="shared" si="19"/>
        <v>16</v>
      </c>
      <c r="H48" s="238">
        <v>64</v>
      </c>
      <c r="I48" s="238">
        <f t="shared" si="20"/>
        <v>25817.599999999999</v>
      </c>
      <c r="J48" s="237"/>
      <c r="K48" s="238">
        <v>0</v>
      </c>
      <c r="L48" s="321">
        <v>0</v>
      </c>
      <c r="M48" s="235"/>
      <c r="N48" s="235">
        <f t="shared" si="21"/>
        <v>0</v>
      </c>
      <c r="O48" s="235">
        <f t="shared" si="22"/>
        <v>0</v>
      </c>
      <c r="P48" s="321">
        <f t="shared" si="23"/>
        <v>0</v>
      </c>
      <c r="Q48" s="235">
        <f t="shared" si="24"/>
        <v>0</v>
      </c>
      <c r="R48" s="322">
        <f t="shared" si="25"/>
        <v>0</v>
      </c>
      <c r="S48" s="181"/>
      <c r="T48" s="205"/>
    </row>
    <row r="49" spans="1:21" ht="13.8">
      <c r="A49" s="239">
        <f t="shared" si="26"/>
        <v>31</v>
      </c>
      <c r="B49" s="219" t="s">
        <v>52</v>
      </c>
      <c r="C49" s="218" t="s">
        <v>18</v>
      </c>
      <c r="D49" s="217">
        <v>45986.77</v>
      </c>
      <c r="E49" s="217">
        <v>0.65</v>
      </c>
      <c r="F49" s="216">
        <f t="shared" si="18"/>
        <v>29891.4</v>
      </c>
      <c r="G49" s="320">
        <f t="shared" si="19"/>
        <v>0.22</v>
      </c>
      <c r="H49" s="238">
        <v>0.87</v>
      </c>
      <c r="I49" s="238">
        <f t="shared" si="20"/>
        <v>40008.49</v>
      </c>
      <c r="J49" s="237"/>
      <c r="K49" s="238">
        <v>0</v>
      </c>
      <c r="L49" s="321">
        <v>0</v>
      </c>
      <c r="M49" s="235"/>
      <c r="N49" s="235">
        <f t="shared" si="21"/>
        <v>0</v>
      </c>
      <c r="O49" s="235">
        <f t="shared" si="22"/>
        <v>0</v>
      </c>
      <c r="P49" s="321">
        <f t="shared" si="23"/>
        <v>0</v>
      </c>
      <c r="Q49" s="235">
        <f t="shared" si="24"/>
        <v>0</v>
      </c>
      <c r="R49" s="322">
        <f t="shared" si="25"/>
        <v>0</v>
      </c>
      <c r="S49" s="181"/>
      <c r="T49" s="205"/>
    </row>
    <row r="50" spans="1:21" ht="13.8">
      <c r="A50" s="239">
        <f t="shared" si="26"/>
        <v>32</v>
      </c>
      <c r="B50" s="219" t="s">
        <v>53</v>
      </c>
      <c r="C50" s="218" t="s">
        <v>47</v>
      </c>
      <c r="D50" s="217">
        <v>825.66</v>
      </c>
      <c r="E50" s="217">
        <v>18.2</v>
      </c>
      <c r="F50" s="216">
        <f t="shared" si="18"/>
        <v>15027.01</v>
      </c>
      <c r="G50" s="320">
        <f t="shared" si="19"/>
        <v>0</v>
      </c>
      <c r="H50" s="238">
        <v>18.2</v>
      </c>
      <c r="I50" s="238">
        <f t="shared" si="20"/>
        <v>15027.01</v>
      </c>
      <c r="J50" s="237"/>
      <c r="K50" s="238">
        <v>0</v>
      </c>
      <c r="L50" s="321">
        <v>0</v>
      </c>
      <c r="M50" s="235"/>
      <c r="N50" s="235">
        <f t="shared" si="21"/>
        <v>0</v>
      </c>
      <c r="O50" s="235">
        <f t="shared" si="22"/>
        <v>0</v>
      </c>
      <c r="P50" s="321">
        <f t="shared" si="23"/>
        <v>0</v>
      </c>
      <c r="Q50" s="235">
        <f t="shared" si="24"/>
        <v>0</v>
      </c>
      <c r="R50" s="322">
        <f t="shared" si="25"/>
        <v>0</v>
      </c>
      <c r="S50" s="181"/>
      <c r="T50" s="205"/>
    </row>
    <row r="51" spans="1:21" ht="13.8">
      <c r="A51" s="239">
        <f t="shared" si="26"/>
        <v>33</v>
      </c>
      <c r="B51" s="219" t="s">
        <v>54</v>
      </c>
      <c r="C51" s="218" t="s">
        <v>47</v>
      </c>
      <c r="D51" s="217">
        <v>83.48</v>
      </c>
      <c r="E51" s="217">
        <v>47.3</v>
      </c>
      <c r="F51" s="216">
        <f t="shared" si="18"/>
        <v>3948.6</v>
      </c>
      <c r="G51" s="320">
        <f t="shared" si="19"/>
        <v>0</v>
      </c>
      <c r="H51" s="238">
        <v>47.3</v>
      </c>
      <c r="I51" s="238">
        <f t="shared" si="20"/>
        <v>3948.6</v>
      </c>
      <c r="J51" s="237"/>
      <c r="K51" s="238">
        <v>0</v>
      </c>
      <c r="L51" s="321">
        <v>0</v>
      </c>
      <c r="M51" s="235"/>
      <c r="N51" s="235">
        <f t="shared" si="21"/>
        <v>0</v>
      </c>
      <c r="O51" s="235">
        <f t="shared" si="22"/>
        <v>0</v>
      </c>
      <c r="P51" s="321">
        <f t="shared" si="23"/>
        <v>0</v>
      </c>
      <c r="Q51" s="235">
        <f t="shared" si="24"/>
        <v>0</v>
      </c>
      <c r="R51" s="322">
        <f t="shared" si="25"/>
        <v>0</v>
      </c>
      <c r="S51" s="181"/>
      <c r="T51" s="205"/>
    </row>
    <row r="52" spans="1:21" ht="13.8">
      <c r="A52" s="239">
        <f t="shared" si="26"/>
        <v>34</v>
      </c>
      <c r="B52" s="219" t="s">
        <v>55</v>
      </c>
      <c r="C52" s="218" t="s">
        <v>10</v>
      </c>
      <c r="D52" s="217">
        <v>150.47999999999999</v>
      </c>
      <c r="E52" s="217">
        <v>106.76</v>
      </c>
      <c r="F52" s="216">
        <f t="shared" si="18"/>
        <v>16065.24</v>
      </c>
      <c r="G52" s="320">
        <f t="shared" si="19"/>
        <v>34.57</v>
      </c>
      <c r="H52" s="238">
        <v>141.33000000000001</v>
      </c>
      <c r="I52" s="238">
        <f t="shared" si="20"/>
        <v>21267.34</v>
      </c>
      <c r="J52" s="237"/>
      <c r="K52" s="238">
        <v>0</v>
      </c>
      <c r="L52" s="321">
        <v>0</v>
      </c>
      <c r="M52" s="235">
        <v>141.33000000000001</v>
      </c>
      <c r="N52" s="235">
        <f t="shared" si="21"/>
        <v>21267.34</v>
      </c>
      <c r="O52" s="235">
        <f t="shared" si="22"/>
        <v>141.33000000000001</v>
      </c>
      <c r="P52" s="321">
        <f t="shared" si="23"/>
        <v>21267.34</v>
      </c>
      <c r="Q52" s="235">
        <f t="shared" si="24"/>
        <v>100</v>
      </c>
      <c r="R52" s="322">
        <f t="shared" si="25"/>
        <v>100</v>
      </c>
      <c r="S52" s="181"/>
      <c r="T52" s="205"/>
    </row>
    <row r="53" spans="1:21" s="244" customFormat="1" ht="13.8">
      <c r="A53" s="239">
        <f t="shared" si="26"/>
        <v>35</v>
      </c>
      <c r="B53" s="219" t="s">
        <v>44</v>
      </c>
      <c r="C53" s="218" t="s">
        <v>10</v>
      </c>
      <c r="D53" s="217">
        <v>638.48</v>
      </c>
      <c r="E53" s="217">
        <v>20.6</v>
      </c>
      <c r="F53" s="216">
        <f t="shared" si="18"/>
        <v>13152.69</v>
      </c>
      <c r="G53" s="320">
        <f t="shared" si="19"/>
        <v>2.64</v>
      </c>
      <c r="H53" s="238">
        <v>23.24</v>
      </c>
      <c r="I53" s="238">
        <f t="shared" si="20"/>
        <v>14838.28</v>
      </c>
      <c r="J53" s="237"/>
      <c r="K53" s="238">
        <v>0</v>
      </c>
      <c r="L53" s="321">
        <v>0</v>
      </c>
      <c r="M53" s="235"/>
      <c r="N53" s="235">
        <f t="shared" si="21"/>
        <v>0</v>
      </c>
      <c r="O53" s="235">
        <f t="shared" si="22"/>
        <v>0</v>
      </c>
      <c r="P53" s="321">
        <f t="shared" si="23"/>
        <v>0</v>
      </c>
      <c r="Q53" s="235">
        <f t="shared" si="24"/>
        <v>0</v>
      </c>
      <c r="R53" s="322">
        <f t="shared" si="25"/>
        <v>0</v>
      </c>
      <c r="S53" s="181"/>
      <c r="T53" s="246"/>
      <c r="U53" s="245"/>
    </row>
    <row r="54" spans="1:21" ht="13.8">
      <c r="A54" s="239">
        <f t="shared" si="26"/>
        <v>36</v>
      </c>
      <c r="B54" s="219" t="s">
        <v>56</v>
      </c>
      <c r="C54" s="218" t="s">
        <v>10</v>
      </c>
      <c r="D54" s="217">
        <v>573.79</v>
      </c>
      <c r="E54" s="217">
        <v>476</v>
      </c>
      <c r="F54" s="216">
        <f t="shared" si="18"/>
        <v>273124.03999999998</v>
      </c>
      <c r="G54" s="320">
        <f t="shared" si="19"/>
        <v>-476</v>
      </c>
      <c r="H54" s="238">
        <v>0</v>
      </c>
      <c r="I54" s="238">
        <f t="shared" si="20"/>
        <v>0</v>
      </c>
      <c r="J54" s="237"/>
      <c r="K54" s="238">
        <v>0</v>
      </c>
      <c r="L54" s="321">
        <v>0</v>
      </c>
      <c r="M54" s="235"/>
      <c r="N54" s="235">
        <f t="shared" si="21"/>
        <v>0</v>
      </c>
      <c r="O54" s="235">
        <f t="shared" si="22"/>
        <v>0</v>
      </c>
      <c r="P54" s="321">
        <f t="shared" si="23"/>
        <v>0</v>
      </c>
      <c r="Q54" s="235" t="str">
        <f t="shared" si="24"/>
        <v/>
      </c>
      <c r="R54" s="322" t="str">
        <f t="shared" si="25"/>
        <v/>
      </c>
      <c r="S54" s="181"/>
      <c r="T54" s="205"/>
    </row>
    <row r="55" spans="1:21" ht="13.8">
      <c r="A55" s="323">
        <f t="shared" si="26"/>
        <v>37</v>
      </c>
      <c r="B55" s="215" t="s">
        <v>57</v>
      </c>
      <c r="C55" s="214" t="s">
        <v>18</v>
      </c>
      <c r="D55" s="213">
        <v>4553.8599999999997</v>
      </c>
      <c r="E55" s="213">
        <v>1</v>
      </c>
      <c r="F55" s="243">
        <f t="shared" si="18"/>
        <v>4553.8599999999997</v>
      </c>
      <c r="G55" s="324">
        <f t="shared" si="19"/>
        <v>0</v>
      </c>
      <c r="H55" s="325">
        <v>1</v>
      </c>
      <c r="I55" s="325">
        <f t="shared" si="20"/>
        <v>4553.8599999999997</v>
      </c>
      <c r="J55" s="326"/>
      <c r="K55" s="325">
        <v>0</v>
      </c>
      <c r="L55" s="327">
        <v>0</v>
      </c>
      <c r="M55" s="328"/>
      <c r="N55" s="328">
        <f t="shared" si="21"/>
        <v>0</v>
      </c>
      <c r="O55" s="328">
        <f t="shared" si="22"/>
        <v>0</v>
      </c>
      <c r="P55" s="327">
        <f t="shared" si="23"/>
        <v>0</v>
      </c>
      <c r="Q55" s="328">
        <f t="shared" si="24"/>
        <v>0</v>
      </c>
      <c r="R55" s="329">
        <f t="shared" si="25"/>
        <v>0</v>
      </c>
      <c r="S55" s="181"/>
      <c r="T55" s="205"/>
    </row>
    <row r="56" spans="1:21" ht="13.8">
      <c r="A56" s="229"/>
      <c r="B56" s="228" t="s">
        <v>59</v>
      </c>
      <c r="C56" s="227"/>
      <c r="D56" s="242"/>
      <c r="E56" s="242"/>
      <c r="F56" s="225"/>
      <c r="G56" s="226"/>
      <c r="H56" s="225"/>
      <c r="I56" s="225"/>
      <c r="J56" s="224"/>
      <c r="K56" s="223"/>
      <c r="L56" s="221"/>
      <c r="M56" s="221"/>
      <c r="N56" s="221"/>
      <c r="O56" s="221"/>
      <c r="P56" s="222"/>
      <c r="Q56" s="221"/>
      <c r="R56" s="220"/>
      <c r="S56" s="181"/>
      <c r="T56" s="205"/>
    </row>
    <row r="57" spans="1:21" ht="13.8">
      <c r="A57" s="313">
        <v>38</v>
      </c>
      <c r="B57" s="241" t="s">
        <v>17</v>
      </c>
      <c r="C57" s="234" t="s">
        <v>18</v>
      </c>
      <c r="D57" s="233">
        <v>47860.38</v>
      </c>
      <c r="E57" s="233">
        <v>1</v>
      </c>
      <c r="F57" s="240">
        <f t="shared" ref="F57:F68" si="27">D57*E57</f>
        <v>47860.38</v>
      </c>
      <c r="G57" s="314">
        <f t="shared" ref="G57:G68" si="28">+H57-E57</f>
        <v>0</v>
      </c>
      <c r="H57" s="315">
        <v>1</v>
      </c>
      <c r="I57" s="315">
        <f t="shared" ref="I57:I68" si="29">+H57*D57</f>
        <v>47860.38</v>
      </c>
      <c r="J57" s="330"/>
      <c r="K57" s="315">
        <v>1</v>
      </c>
      <c r="L57" s="318">
        <v>47860.38</v>
      </c>
      <c r="M57" s="317"/>
      <c r="N57" s="317">
        <f t="shared" ref="N57:N68" si="30">ROUND(M57*D57,2)</f>
        <v>0</v>
      </c>
      <c r="O57" s="317">
        <f t="shared" ref="O57:O68" si="31">M57+K57</f>
        <v>1</v>
      </c>
      <c r="P57" s="318">
        <f t="shared" ref="P57:P68" si="32">L57+N57</f>
        <v>47860.38</v>
      </c>
      <c r="Q57" s="317">
        <f t="shared" ref="Q57:Q68" si="33">IF(ISERROR(N57/I57),"",ROUND(N57/I57*100,2))</f>
        <v>0</v>
      </c>
      <c r="R57" s="319">
        <f t="shared" ref="R57:R68" si="34">IF(ISERROR(P57/I57),"",ROUND(P57/I57*100,2))</f>
        <v>100</v>
      </c>
      <c r="S57" s="181"/>
      <c r="T57" s="205"/>
    </row>
    <row r="58" spans="1:21" ht="13.8">
      <c r="A58" s="239">
        <f t="shared" ref="A58:A68" si="35">A57+1</f>
        <v>39</v>
      </c>
      <c r="B58" s="219" t="s">
        <v>32</v>
      </c>
      <c r="C58" s="218" t="s">
        <v>18</v>
      </c>
      <c r="D58" s="217">
        <v>3848.37</v>
      </c>
      <c r="E58" s="217">
        <v>1</v>
      </c>
      <c r="F58" s="216">
        <f t="shared" si="27"/>
        <v>3848.37</v>
      </c>
      <c r="G58" s="320">
        <f t="shared" si="28"/>
        <v>0</v>
      </c>
      <c r="H58" s="238">
        <v>1</v>
      </c>
      <c r="I58" s="238">
        <f t="shared" si="29"/>
        <v>3848.37</v>
      </c>
      <c r="J58" s="238"/>
      <c r="K58" s="238">
        <v>1</v>
      </c>
      <c r="L58" s="321">
        <v>3848.37</v>
      </c>
      <c r="M58" s="235"/>
      <c r="N58" s="235">
        <f t="shared" si="30"/>
        <v>0</v>
      </c>
      <c r="O58" s="235">
        <f t="shared" si="31"/>
        <v>1</v>
      </c>
      <c r="P58" s="321">
        <f t="shared" si="32"/>
        <v>3848.37</v>
      </c>
      <c r="Q58" s="235">
        <f t="shared" si="33"/>
        <v>0</v>
      </c>
      <c r="R58" s="322">
        <f t="shared" si="34"/>
        <v>100</v>
      </c>
      <c r="S58" s="181"/>
      <c r="T58" s="205"/>
    </row>
    <row r="59" spans="1:21" ht="13.8">
      <c r="A59" s="239">
        <f t="shared" si="35"/>
        <v>40</v>
      </c>
      <c r="B59" s="219" t="s">
        <v>33</v>
      </c>
      <c r="C59" s="218" t="s">
        <v>10</v>
      </c>
      <c r="D59" s="217">
        <v>27.03</v>
      </c>
      <c r="E59" s="217">
        <v>421.23</v>
      </c>
      <c r="F59" s="216">
        <f t="shared" si="27"/>
        <v>11385.85</v>
      </c>
      <c r="G59" s="320">
        <f t="shared" si="28"/>
        <v>0</v>
      </c>
      <c r="H59" s="238">
        <v>421.23</v>
      </c>
      <c r="I59" s="238">
        <f t="shared" si="29"/>
        <v>11385.85</v>
      </c>
      <c r="J59" s="238"/>
      <c r="K59" s="238">
        <v>0</v>
      </c>
      <c r="L59" s="321">
        <v>0</v>
      </c>
      <c r="M59" s="235"/>
      <c r="N59" s="235">
        <f t="shared" si="30"/>
        <v>0</v>
      </c>
      <c r="O59" s="235">
        <f t="shared" si="31"/>
        <v>0</v>
      </c>
      <c r="P59" s="321">
        <f t="shared" si="32"/>
        <v>0</v>
      </c>
      <c r="Q59" s="235">
        <f t="shared" si="33"/>
        <v>0</v>
      </c>
      <c r="R59" s="322">
        <f t="shared" si="34"/>
        <v>0</v>
      </c>
      <c r="S59" s="181"/>
      <c r="T59" s="205"/>
    </row>
    <row r="60" spans="1:21" ht="13.8">
      <c r="A60" s="239">
        <f t="shared" si="35"/>
        <v>41</v>
      </c>
      <c r="B60" s="219" t="s">
        <v>60</v>
      </c>
      <c r="C60" s="218" t="s">
        <v>10</v>
      </c>
      <c r="D60" s="217">
        <v>651.46</v>
      </c>
      <c r="E60" s="217">
        <v>379.8</v>
      </c>
      <c r="F60" s="216">
        <f t="shared" si="27"/>
        <v>247424.51</v>
      </c>
      <c r="G60" s="320">
        <f t="shared" si="28"/>
        <v>0</v>
      </c>
      <c r="H60" s="238">
        <v>379.8</v>
      </c>
      <c r="I60" s="238">
        <f t="shared" si="29"/>
        <v>247424.51</v>
      </c>
      <c r="J60" s="238"/>
      <c r="K60" s="238">
        <v>0</v>
      </c>
      <c r="L60" s="321">
        <v>0</v>
      </c>
      <c r="M60" s="235"/>
      <c r="N60" s="235">
        <f t="shared" si="30"/>
        <v>0</v>
      </c>
      <c r="O60" s="235">
        <f t="shared" si="31"/>
        <v>0</v>
      </c>
      <c r="P60" s="321">
        <f t="shared" si="32"/>
        <v>0</v>
      </c>
      <c r="Q60" s="235">
        <f t="shared" si="33"/>
        <v>0</v>
      </c>
      <c r="R60" s="322">
        <f t="shared" si="34"/>
        <v>0</v>
      </c>
      <c r="S60" s="181"/>
      <c r="T60" s="205"/>
    </row>
    <row r="61" spans="1:21" ht="13.8">
      <c r="A61" s="239">
        <f t="shared" si="35"/>
        <v>42</v>
      </c>
      <c r="B61" s="3" t="s">
        <v>35</v>
      </c>
      <c r="C61" s="10" t="s">
        <v>10</v>
      </c>
      <c r="D61" s="11">
        <v>1801.53</v>
      </c>
      <c r="E61" s="12">
        <v>95.41</v>
      </c>
      <c r="F61" s="216">
        <f t="shared" si="27"/>
        <v>171883.98</v>
      </c>
      <c r="G61" s="320">
        <f t="shared" si="28"/>
        <v>0</v>
      </c>
      <c r="H61" s="238">
        <v>95.41</v>
      </c>
      <c r="I61" s="238">
        <f t="shared" si="29"/>
        <v>171883.98</v>
      </c>
      <c r="J61" s="238"/>
      <c r="K61" s="238">
        <v>0</v>
      </c>
      <c r="L61" s="321">
        <v>0</v>
      </c>
      <c r="M61" s="235"/>
      <c r="N61" s="235">
        <f t="shared" si="30"/>
        <v>0</v>
      </c>
      <c r="O61" s="235">
        <f t="shared" si="31"/>
        <v>0</v>
      </c>
      <c r="P61" s="321">
        <f t="shared" si="32"/>
        <v>0</v>
      </c>
      <c r="Q61" s="235">
        <f t="shared" si="33"/>
        <v>0</v>
      </c>
      <c r="R61" s="322">
        <f t="shared" si="34"/>
        <v>0</v>
      </c>
      <c r="S61" s="181"/>
      <c r="T61" s="205"/>
    </row>
    <row r="62" spans="1:21" ht="13.8">
      <c r="A62" s="239">
        <f t="shared" si="35"/>
        <v>43</v>
      </c>
      <c r="B62" s="219" t="s">
        <v>36</v>
      </c>
      <c r="C62" s="218" t="s">
        <v>46</v>
      </c>
      <c r="D62" s="217">
        <v>15.35</v>
      </c>
      <c r="E62" s="217">
        <v>7046.94</v>
      </c>
      <c r="F62" s="216">
        <f t="shared" si="27"/>
        <v>108170.53</v>
      </c>
      <c r="G62" s="320">
        <f t="shared" si="28"/>
        <v>0</v>
      </c>
      <c r="H62" s="238">
        <v>7046.94</v>
      </c>
      <c r="I62" s="238">
        <f t="shared" si="29"/>
        <v>108170.53</v>
      </c>
      <c r="J62" s="238"/>
      <c r="K62" s="238">
        <v>0</v>
      </c>
      <c r="L62" s="321">
        <v>0</v>
      </c>
      <c r="M62" s="235"/>
      <c r="N62" s="235">
        <f t="shared" si="30"/>
        <v>0</v>
      </c>
      <c r="O62" s="235">
        <f t="shared" si="31"/>
        <v>0</v>
      </c>
      <c r="P62" s="321">
        <f t="shared" si="32"/>
        <v>0</v>
      </c>
      <c r="Q62" s="235">
        <f t="shared" si="33"/>
        <v>0</v>
      </c>
      <c r="R62" s="322">
        <f t="shared" si="34"/>
        <v>0</v>
      </c>
      <c r="S62" s="181"/>
      <c r="T62" s="205"/>
    </row>
    <row r="63" spans="1:21" ht="13.8">
      <c r="A63" s="239">
        <f t="shared" si="35"/>
        <v>44</v>
      </c>
      <c r="B63" s="219" t="s">
        <v>50</v>
      </c>
      <c r="C63" s="218" t="s">
        <v>47</v>
      </c>
      <c r="D63" s="217">
        <v>3139.57</v>
      </c>
      <c r="E63" s="217">
        <v>61.8</v>
      </c>
      <c r="F63" s="216">
        <f t="shared" si="27"/>
        <v>194025.43</v>
      </c>
      <c r="G63" s="320">
        <f t="shared" si="28"/>
        <v>0</v>
      </c>
      <c r="H63" s="238">
        <v>61.8</v>
      </c>
      <c r="I63" s="238">
        <f t="shared" si="29"/>
        <v>194025.43</v>
      </c>
      <c r="J63" s="238"/>
      <c r="K63" s="238">
        <v>0</v>
      </c>
      <c r="L63" s="321">
        <v>0</v>
      </c>
      <c r="M63" s="235"/>
      <c r="N63" s="235">
        <f t="shared" si="30"/>
        <v>0</v>
      </c>
      <c r="O63" s="235">
        <f t="shared" si="31"/>
        <v>0</v>
      </c>
      <c r="P63" s="321">
        <f t="shared" si="32"/>
        <v>0</v>
      </c>
      <c r="Q63" s="235">
        <f t="shared" si="33"/>
        <v>0</v>
      </c>
      <c r="R63" s="322">
        <f t="shared" si="34"/>
        <v>0</v>
      </c>
      <c r="S63" s="181"/>
      <c r="T63" s="205"/>
    </row>
    <row r="64" spans="1:21" ht="13.8">
      <c r="A64" s="239">
        <f t="shared" si="35"/>
        <v>45</v>
      </c>
      <c r="B64" s="219" t="s">
        <v>51</v>
      </c>
      <c r="C64" s="218" t="s">
        <v>58</v>
      </c>
      <c r="D64" s="217">
        <v>403.4</v>
      </c>
      <c r="E64" s="217">
        <v>26.25</v>
      </c>
      <c r="F64" s="216">
        <f t="shared" si="27"/>
        <v>10589.25</v>
      </c>
      <c r="G64" s="320">
        <f t="shared" si="28"/>
        <v>0</v>
      </c>
      <c r="H64" s="238">
        <v>26.25</v>
      </c>
      <c r="I64" s="238">
        <f t="shared" si="29"/>
        <v>10589.25</v>
      </c>
      <c r="J64" s="238"/>
      <c r="K64" s="238">
        <v>0</v>
      </c>
      <c r="L64" s="321">
        <v>0</v>
      </c>
      <c r="M64" s="235"/>
      <c r="N64" s="235">
        <f t="shared" si="30"/>
        <v>0</v>
      </c>
      <c r="O64" s="235">
        <f t="shared" si="31"/>
        <v>0</v>
      </c>
      <c r="P64" s="321">
        <f t="shared" si="32"/>
        <v>0</v>
      </c>
      <c r="Q64" s="235">
        <f t="shared" si="33"/>
        <v>0</v>
      </c>
      <c r="R64" s="322">
        <f t="shared" si="34"/>
        <v>0</v>
      </c>
      <c r="S64" s="181"/>
      <c r="T64" s="205"/>
    </row>
    <row r="65" spans="1:20" ht="13.8">
      <c r="A65" s="239">
        <f t="shared" si="35"/>
        <v>46</v>
      </c>
      <c r="B65" s="219" t="s">
        <v>52</v>
      </c>
      <c r="C65" s="218" t="s">
        <v>18</v>
      </c>
      <c r="D65" s="217">
        <v>45986.77</v>
      </c>
      <c r="E65" s="217">
        <v>1</v>
      </c>
      <c r="F65" s="216">
        <f t="shared" si="27"/>
        <v>45986.77</v>
      </c>
      <c r="G65" s="320">
        <f t="shared" si="28"/>
        <v>0</v>
      </c>
      <c r="H65" s="238">
        <v>1</v>
      </c>
      <c r="I65" s="238">
        <f t="shared" si="29"/>
        <v>45986.77</v>
      </c>
      <c r="J65" s="238"/>
      <c r="K65" s="238">
        <v>0</v>
      </c>
      <c r="L65" s="321">
        <v>0</v>
      </c>
      <c r="M65" s="235"/>
      <c r="N65" s="235">
        <f t="shared" si="30"/>
        <v>0</v>
      </c>
      <c r="O65" s="235">
        <f t="shared" si="31"/>
        <v>0</v>
      </c>
      <c r="P65" s="321">
        <f t="shared" si="32"/>
        <v>0</v>
      </c>
      <c r="Q65" s="235">
        <f t="shared" si="33"/>
        <v>0</v>
      </c>
      <c r="R65" s="322">
        <f t="shared" si="34"/>
        <v>0</v>
      </c>
      <c r="S65" s="181"/>
      <c r="T65" s="205"/>
    </row>
    <row r="66" spans="1:20" ht="13.8">
      <c r="A66" s="239">
        <f t="shared" si="35"/>
        <v>47</v>
      </c>
      <c r="B66" s="219" t="s">
        <v>53</v>
      </c>
      <c r="C66" s="218" t="s">
        <v>47</v>
      </c>
      <c r="D66" s="217">
        <v>825.66</v>
      </c>
      <c r="E66" s="217">
        <v>14.6</v>
      </c>
      <c r="F66" s="216">
        <f t="shared" si="27"/>
        <v>12054.64</v>
      </c>
      <c r="G66" s="320">
        <f t="shared" si="28"/>
        <v>0</v>
      </c>
      <c r="H66" s="238">
        <v>14.6</v>
      </c>
      <c r="I66" s="238">
        <f t="shared" si="29"/>
        <v>12054.64</v>
      </c>
      <c r="J66" s="238"/>
      <c r="K66" s="238">
        <v>0</v>
      </c>
      <c r="L66" s="321">
        <v>0</v>
      </c>
      <c r="M66" s="235"/>
      <c r="N66" s="235">
        <f t="shared" si="30"/>
        <v>0</v>
      </c>
      <c r="O66" s="235">
        <f t="shared" si="31"/>
        <v>0</v>
      </c>
      <c r="P66" s="321">
        <f t="shared" si="32"/>
        <v>0</v>
      </c>
      <c r="Q66" s="235">
        <f t="shared" si="33"/>
        <v>0</v>
      </c>
      <c r="R66" s="322">
        <f t="shared" si="34"/>
        <v>0</v>
      </c>
      <c r="S66" s="181"/>
      <c r="T66" s="205"/>
    </row>
    <row r="67" spans="1:20" ht="13.8">
      <c r="A67" s="239">
        <f t="shared" si="35"/>
        <v>48</v>
      </c>
      <c r="B67" s="219" t="s">
        <v>54</v>
      </c>
      <c r="C67" s="218" t="s">
        <v>47</v>
      </c>
      <c r="D67" s="217">
        <v>83.48</v>
      </c>
      <c r="E67" s="217">
        <v>38.799999999999997</v>
      </c>
      <c r="F67" s="216">
        <f t="shared" si="27"/>
        <v>3239.02</v>
      </c>
      <c r="G67" s="320">
        <f t="shared" si="28"/>
        <v>0</v>
      </c>
      <c r="H67" s="238">
        <v>38.799999999999997</v>
      </c>
      <c r="I67" s="238">
        <f t="shared" si="29"/>
        <v>3239.02</v>
      </c>
      <c r="J67" s="238"/>
      <c r="K67" s="238">
        <v>0</v>
      </c>
      <c r="L67" s="321">
        <v>0</v>
      </c>
      <c r="M67" s="235"/>
      <c r="N67" s="235">
        <f t="shared" si="30"/>
        <v>0</v>
      </c>
      <c r="O67" s="235">
        <f t="shared" si="31"/>
        <v>0</v>
      </c>
      <c r="P67" s="321">
        <f t="shared" si="32"/>
        <v>0</v>
      </c>
      <c r="Q67" s="235">
        <f t="shared" si="33"/>
        <v>0</v>
      </c>
      <c r="R67" s="322">
        <f t="shared" si="34"/>
        <v>0</v>
      </c>
      <c r="S67" s="181"/>
      <c r="T67" s="205"/>
    </row>
    <row r="68" spans="1:20" ht="13.8">
      <c r="A68" s="323">
        <f t="shared" si="35"/>
        <v>49</v>
      </c>
      <c r="B68" s="215" t="s">
        <v>57</v>
      </c>
      <c r="C68" s="214" t="s">
        <v>18</v>
      </c>
      <c r="D68" s="213">
        <v>4553.8599999999997</v>
      </c>
      <c r="E68" s="213">
        <v>1</v>
      </c>
      <c r="F68" s="212">
        <f t="shared" si="27"/>
        <v>4553.8599999999997</v>
      </c>
      <c r="G68" s="324">
        <f t="shared" si="28"/>
        <v>0</v>
      </c>
      <c r="H68" s="325">
        <v>1</v>
      </c>
      <c r="I68" s="325">
        <f t="shared" si="29"/>
        <v>4553.8599999999997</v>
      </c>
      <c r="J68" s="326"/>
      <c r="K68" s="331">
        <v>0</v>
      </c>
      <c r="L68" s="321">
        <v>0</v>
      </c>
      <c r="M68" s="328"/>
      <c r="N68" s="328">
        <f t="shared" si="30"/>
        <v>0</v>
      </c>
      <c r="O68" s="328">
        <f t="shared" si="31"/>
        <v>0</v>
      </c>
      <c r="P68" s="327">
        <f t="shared" si="32"/>
        <v>0</v>
      </c>
      <c r="Q68" s="328">
        <f t="shared" si="33"/>
        <v>0</v>
      </c>
      <c r="R68" s="329">
        <f t="shared" si="34"/>
        <v>0</v>
      </c>
      <c r="S68" s="181"/>
      <c r="T68" s="205"/>
    </row>
    <row r="69" spans="1:20" ht="13.8">
      <c r="A69" s="229"/>
      <c r="B69" s="228" t="s">
        <v>61</v>
      </c>
      <c r="C69" s="227"/>
      <c r="D69" s="226"/>
      <c r="E69" s="226"/>
      <c r="F69" s="225"/>
      <c r="G69" s="226"/>
      <c r="H69" s="225"/>
      <c r="I69" s="225"/>
      <c r="J69" s="224"/>
      <c r="K69" s="223"/>
      <c r="L69" s="221"/>
      <c r="M69" s="221"/>
      <c r="N69" s="221"/>
      <c r="O69" s="221"/>
      <c r="P69" s="222"/>
      <c r="Q69" s="221"/>
      <c r="R69" s="220"/>
      <c r="S69" s="181"/>
      <c r="T69" s="205"/>
    </row>
    <row r="70" spans="1:20" ht="13.8">
      <c r="A70" s="313">
        <v>50</v>
      </c>
      <c r="B70" s="7" t="s">
        <v>62</v>
      </c>
      <c r="C70" s="234" t="s">
        <v>67</v>
      </c>
      <c r="D70" s="233">
        <v>1145.2</v>
      </c>
      <c r="E70" s="233">
        <v>15</v>
      </c>
      <c r="F70" s="232">
        <f>D70*E70</f>
        <v>17178</v>
      </c>
      <c r="G70" s="314">
        <f>+H70-E70</f>
        <v>0</v>
      </c>
      <c r="H70" s="315">
        <v>15</v>
      </c>
      <c r="I70" s="315">
        <f>+H70*D70</f>
        <v>17178</v>
      </c>
      <c r="J70" s="330"/>
      <c r="K70" s="332">
        <v>0</v>
      </c>
      <c r="L70" s="318">
        <v>0</v>
      </c>
      <c r="M70" s="317"/>
      <c r="N70" s="317">
        <f t="shared" ref="N70:N74" si="36">ROUND(M70*D70,2)</f>
        <v>0</v>
      </c>
      <c r="O70" s="317">
        <f t="shared" ref="O70:O74" si="37">M70+K70</f>
        <v>0</v>
      </c>
      <c r="P70" s="318">
        <f t="shared" ref="P70:P74" si="38">L70+N70</f>
        <v>0</v>
      </c>
      <c r="Q70" s="317">
        <f>IF(ISERROR(N70/I70),"",ROUND(N70/I70*100,2))</f>
        <v>0</v>
      </c>
      <c r="R70" s="319">
        <f>IF(ISERROR(P70/I70),"",ROUND(P70/I70*100,2))</f>
        <v>0</v>
      </c>
      <c r="S70" s="181"/>
      <c r="T70" s="205"/>
    </row>
    <row r="71" spans="1:20" ht="13.8">
      <c r="A71" s="239">
        <f>1+A70</f>
        <v>51</v>
      </c>
      <c r="B71" s="8" t="s">
        <v>63</v>
      </c>
      <c r="C71" s="218" t="s">
        <v>67</v>
      </c>
      <c r="D71" s="217">
        <v>977.64</v>
      </c>
      <c r="E71" s="217">
        <v>33</v>
      </c>
      <c r="F71" s="231">
        <f>D71*E71</f>
        <v>32262.12</v>
      </c>
      <c r="G71" s="320">
        <f>+H71-E71</f>
        <v>0</v>
      </c>
      <c r="H71" s="238">
        <v>33</v>
      </c>
      <c r="I71" s="238">
        <f>+H71*D71</f>
        <v>32262.12</v>
      </c>
      <c r="J71" s="237"/>
      <c r="K71" s="236">
        <v>0</v>
      </c>
      <c r="L71" s="321">
        <v>0</v>
      </c>
      <c r="M71" s="235"/>
      <c r="N71" s="235">
        <f t="shared" si="36"/>
        <v>0</v>
      </c>
      <c r="O71" s="235">
        <f t="shared" si="37"/>
        <v>0</v>
      </c>
      <c r="P71" s="321">
        <f t="shared" si="38"/>
        <v>0</v>
      </c>
      <c r="Q71" s="235">
        <f>IF(ISERROR(N71/I71),"",ROUND(N71/I71*100,2))</f>
        <v>0</v>
      </c>
      <c r="R71" s="322">
        <f>IF(ISERROR(P71/I71),"",ROUND(P71/I71*100,2))</f>
        <v>0</v>
      </c>
      <c r="S71" s="181"/>
      <c r="T71" s="205"/>
    </row>
    <row r="72" spans="1:20" ht="13.8">
      <c r="A72" s="239">
        <f>1+A71</f>
        <v>52</v>
      </c>
      <c r="B72" s="8" t="s">
        <v>64</v>
      </c>
      <c r="C72" s="218" t="s">
        <v>67</v>
      </c>
      <c r="D72" s="217">
        <v>1497.96</v>
      </c>
      <c r="E72" s="217">
        <v>1</v>
      </c>
      <c r="F72" s="231">
        <f>D72*E72</f>
        <v>1497.96</v>
      </c>
      <c r="G72" s="320">
        <f>+H72-E72</f>
        <v>0</v>
      </c>
      <c r="H72" s="238">
        <v>1</v>
      </c>
      <c r="I72" s="238">
        <f>+H72*D72</f>
        <v>1497.96</v>
      </c>
      <c r="J72" s="237"/>
      <c r="K72" s="236">
        <v>0</v>
      </c>
      <c r="L72" s="321">
        <v>0</v>
      </c>
      <c r="M72" s="235"/>
      <c r="N72" s="235">
        <f t="shared" si="36"/>
        <v>0</v>
      </c>
      <c r="O72" s="235">
        <f t="shared" si="37"/>
        <v>0</v>
      </c>
      <c r="P72" s="321">
        <f t="shared" si="38"/>
        <v>0</v>
      </c>
      <c r="Q72" s="235">
        <f>IF(ISERROR(N72/I72),"",ROUND(N72/I72*100,2))</f>
        <v>0</v>
      </c>
      <c r="R72" s="322">
        <f>IF(ISERROR(P72/I72),"",ROUND(P72/I72*100,2))</f>
        <v>0</v>
      </c>
      <c r="S72" s="181"/>
      <c r="T72" s="205"/>
    </row>
    <row r="73" spans="1:20" ht="13.8">
      <c r="A73" s="239">
        <f>1+A72</f>
        <v>53</v>
      </c>
      <c r="B73" s="8" t="s">
        <v>65</v>
      </c>
      <c r="C73" s="218" t="s">
        <v>67</v>
      </c>
      <c r="D73" s="217">
        <v>276.64</v>
      </c>
      <c r="E73" s="217">
        <v>26</v>
      </c>
      <c r="F73" s="231">
        <f>D73*E73</f>
        <v>7192.64</v>
      </c>
      <c r="G73" s="320">
        <f>+H73-E73</f>
        <v>0</v>
      </c>
      <c r="H73" s="238">
        <v>26</v>
      </c>
      <c r="I73" s="238">
        <f>+H73*D73</f>
        <v>7192.64</v>
      </c>
      <c r="J73" s="237"/>
      <c r="K73" s="236">
        <v>0</v>
      </c>
      <c r="L73" s="321">
        <v>0</v>
      </c>
      <c r="M73" s="235"/>
      <c r="N73" s="235">
        <f t="shared" si="36"/>
        <v>0</v>
      </c>
      <c r="O73" s="235">
        <f t="shared" si="37"/>
        <v>0</v>
      </c>
      <c r="P73" s="321">
        <f t="shared" si="38"/>
        <v>0</v>
      </c>
      <c r="Q73" s="235">
        <f>IF(ISERROR(N73/I73),"",ROUND(N73/I73*100,2))</f>
        <v>0</v>
      </c>
      <c r="R73" s="322">
        <f>IF(ISERROR(P73/I73),"",ROUND(P73/I73*100,2))</f>
        <v>0</v>
      </c>
      <c r="S73" s="181"/>
      <c r="T73" s="205"/>
    </row>
    <row r="74" spans="1:20" ht="13.8">
      <c r="A74" s="323">
        <f>1+A73</f>
        <v>54</v>
      </c>
      <c r="B74" s="9" t="s">
        <v>66</v>
      </c>
      <c r="C74" s="214" t="s">
        <v>67</v>
      </c>
      <c r="D74" s="213">
        <v>235.45</v>
      </c>
      <c r="E74" s="213">
        <v>98</v>
      </c>
      <c r="F74" s="230">
        <f>D74*E74</f>
        <v>23074.1</v>
      </c>
      <c r="G74" s="324">
        <f>+H74-E74</f>
        <v>0</v>
      </c>
      <c r="H74" s="325">
        <v>98</v>
      </c>
      <c r="I74" s="325">
        <f>+H74*D74</f>
        <v>23074.1</v>
      </c>
      <c r="J74" s="326"/>
      <c r="K74" s="331">
        <v>0</v>
      </c>
      <c r="L74" s="327">
        <v>0</v>
      </c>
      <c r="M74" s="328"/>
      <c r="N74" s="328">
        <f t="shared" si="36"/>
        <v>0</v>
      </c>
      <c r="O74" s="328">
        <f t="shared" si="37"/>
        <v>0</v>
      </c>
      <c r="P74" s="327">
        <f t="shared" si="38"/>
        <v>0</v>
      </c>
      <c r="Q74" s="328">
        <f>IF(ISERROR(N74/I74),"",ROUND(N74/I74*100,2))</f>
        <v>0</v>
      </c>
      <c r="R74" s="329">
        <f>IF(ISERROR(P74/I74),"",ROUND(P74/I74*100,2))</f>
        <v>0</v>
      </c>
      <c r="S74" s="181"/>
      <c r="T74" s="205"/>
    </row>
    <row r="75" spans="1:20" ht="13.8">
      <c r="A75" s="229"/>
      <c r="B75" s="228" t="s">
        <v>68</v>
      </c>
      <c r="C75" s="227"/>
      <c r="D75" s="226"/>
      <c r="E75" s="226"/>
      <c r="F75" s="225"/>
      <c r="G75" s="226"/>
      <c r="H75" s="225"/>
      <c r="I75" s="225"/>
      <c r="J75" s="224"/>
      <c r="K75" s="223"/>
      <c r="L75" s="221"/>
      <c r="M75" s="221"/>
      <c r="N75" s="221"/>
      <c r="O75" s="221"/>
      <c r="P75" s="222"/>
      <c r="Q75" s="221"/>
      <c r="R75" s="220"/>
      <c r="S75" s="181"/>
      <c r="T75" s="205"/>
    </row>
    <row r="76" spans="1:20" ht="13.8">
      <c r="A76" s="313">
        <v>65</v>
      </c>
      <c r="B76" s="241" t="s">
        <v>69</v>
      </c>
      <c r="C76" s="234" t="s">
        <v>75</v>
      </c>
      <c r="D76" s="233">
        <v>412.06</v>
      </c>
      <c r="E76" s="233">
        <v>10</v>
      </c>
      <c r="F76" s="240">
        <f t="shared" ref="F76:F81" si="39">D76*E76</f>
        <v>4120.6000000000004</v>
      </c>
      <c r="G76" s="314">
        <f t="shared" ref="G76:G81" si="40">+H76-E76</f>
        <v>0</v>
      </c>
      <c r="H76" s="315">
        <v>10</v>
      </c>
      <c r="I76" s="315">
        <f t="shared" ref="I76:I81" si="41">+H76*D76</f>
        <v>4120.6000000000004</v>
      </c>
      <c r="J76" s="330"/>
      <c r="K76" s="332">
        <v>0</v>
      </c>
      <c r="L76" s="317">
        <v>0</v>
      </c>
      <c r="M76" s="317"/>
      <c r="N76" s="317">
        <f t="shared" ref="N76:N81" si="42">ROUND(M76*D76,2)</f>
        <v>0</v>
      </c>
      <c r="O76" s="317">
        <f t="shared" ref="O76:O81" si="43">M76+K76</f>
        <v>0</v>
      </c>
      <c r="P76" s="318">
        <f t="shared" ref="P76:P81" si="44">L76+N76</f>
        <v>0</v>
      </c>
      <c r="Q76" s="317">
        <f t="shared" ref="Q76:Q81" si="45">IF(ISERROR(N76/I76),"",ROUND(N76/I76*100,2))</f>
        <v>0</v>
      </c>
      <c r="R76" s="319">
        <f t="shared" ref="R76:R81" si="46">IF(ISERROR(P76/I76),"",ROUND(P76/I76*100,2))</f>
        <v>0</v>
      </c>
      <c r="S76" s="181"/>
      <c r="T76" s="205"/>
    </row>
    <row r="77" spans="1:20" ht="13.8">
      <c r="A77" s="239">
        <v>69</v>
      </c>
      <c r="B77" s="219" t="s">
        <v>70</v>
      </c>
      <c r="C77" s="218" t="s">
        <v>10</v>
      </c>
      <c r="D77" s="217">
        <v>337.66</v>
      </c>
      <c r="E77" s="217">
        <v>460.72</v>
      </c>
      <c r="F77" s="216">
        <f t="shared" si="39"/>
        <v>155566.72</v>
      </c>
      <c r="G77" s="320">
        <f t="shared" si="40"/>
        <v>189.38</v>
      </c>
      <c r="H77" s="238">
        <v>650.1</v>
      </c>
      <c r="I77" s="238">
        <f t="shared" si="41"/>
        <v>219512.77</v>
      </c>
      <c r="J77" s="237"/>
      <c r="K77" s="238">
        <v>460.72</v>
      </c>
      <c r="L77" s="321">
        <v>155566.72</v>
      </c>
      <c r="M77" s="235"/>
      <c r="N77" s="235">
        <f t="shared" si="42"/>
        <v>0</v>
      </c>
      <c r="O77" s="235">
        <f t="shared" si="43"/>
        <v>460.72</v>
      </c>
      <c r="P77" s="321">
        <f t="shared" si="44"/>
        <v>155566.72</v>
      </c>
      <c r="Q77" s="235">
        <f t="shared" si="45"/>
        <v>0</v>
      </c>
      <c r="R77" s="322">
        <f t="shared" si="46"/>
        <v>70.87</v>
      </c>
      <c r="S77" s="181"/>
      <c r="T77" s="205"/>
    </row>
    <row r="78" spans="1:20" ht="13.8">
      <c r="A78" s="239">
        <f>1+A77</f>
        <v>70</v>
      </c>
      <c r="B78" s="219" t="s">
        <v>71</v>
      </c>
      <c r="C78" s="218" t="s">
        <v>18</v>
      </c>
      <c r="D78" s="217">
        <v>11160.89</v>
      </c>
      <c r="E78" s="217">
        <v>0.2</v>
      </c>
      <c r="F78" s="216">
        <f t="shared" si="39"/>
        <v>2232.1799999999998</v>
      </c>
      <c r="G78" s="320">
        <f t="shared" si="40"/>
        <v>0</v>
      </c>
      <c r="H78" s="238">
        <v>0.2</v>
      </c>
      <c r="I78" s="238">
        <f t="shared" si="41"/>
        <v>2232.1799999999998</v>
      </c>
      <c r="J78" s="237"/>
      <c r="K78" s="236">
        <v>0</v>
      </c>
      <c r="L78" s="235">
        <v>0</v>
      </c>
      <c r="M78" s="235"/>
      <c r="N78" s="235">
        <f t="shared" si="42"/>
        <v>0</v>
      </c>
      <c r="O78" s="235">
        <f t="shared" si="43"/>
        <v>0</v>
      </c>
      <c r="P78" s="321">
        <f t="shared" si="44"/>
        <v>0</v>
      </c>
      <c r="Q78" s="235">
        <f t="shared" si="45"/>
        <v>0</v>
      </c>
      <c r="R78" s="322">
        <f t="shared" si="46"/>
        <v>0</v>
      </c>
      <c r="S78" s="181"/>
      <c r="T78" s="205"/>
    </row>
    <row r="79" spans="1:20" ht="13.8">
      <c r="A79" s="239">
        <f>1+A78</f>
        <v>71</v>
      </c>
      <c r="B79" s="219" t="s">
        <v>72</v>
      </c>
      <c r="C79" s="218" t="s">
        <v>25</v>
      </c>
      <c r="D79" s="217">
        <v>3424.36</v>
      </c>
      <c r="E79" s="217">
        <v>5.57</v>
      </c>
      <c r="F79" s="216">
        <f t="shared" si="39"/>
        <v>19073.689999999999</v>
      </c>
      <c r="G79" s="320">
        <f t="shared" si="40"/>
        <v>0</v>
      </c>
      <c r="H79" s="238">
        <v>5.57</v>
      </c>
      <c r="I79" s="238">
        <f t="shared" si="41"/>
        <v>19073.689999999999</v>
      </c>
      <c r="J79" s="237"/>
      <c r="K79" s="236">
        <v>0</v>
      </c>
      <c r="L79" s="235">
        <v>0</v>
      </c>
      <c r="M79" s="235"/>
      <c r="N79" s="235">
        <f t="shared" si="42"/>
        <v>0</v>
      </c>
      <c r="O79" s="235">
        <f t="shared" si="43"/>
        <v>0</v>
      </c>
      <c r="P79" s="321">
        <f t="shared" si="44"/>
        <v>0</v>
      </c>
      <c r="Q79" s="235">
        <f t="shared" si="45"/>
        <v>0</v>
      </c>
      <c r="R79" s="322">
        <f t="shared" si="46"/>
        <v>0</v>
      </c>
      <c r="S79" s="181"/>
      <c r="T79" s="205"/>
    </row>
    <row r="80" spans="1:20" ht="13.8">
      <c r="A80" s="239">
        <f>1+A79</f>
        <v>72</v>
      </c>
      <c r="B80" s="219" t="s">
        <v>73</v>
      </c>
      <c r="C80" s="218" t="s">
        <v>25</v>
      </c>
      <c r="D80" s="217">
        <v>5452.74</v>
      </c>
      <c r="E80" s="217">
        <v>4.78</v>
      </c>
      <c r="F80" s="216">
        <f t="shared" si="39"/>
        <v>26064.1</v>
      </c>
      <c r="G80" s="320">
        <f t="shared" si="40"/>
        <v>0</v>
      </c>
      <c r="H80" s="238">
        <v>4.78</v>
      </c>
      <c r="I80" s="238">
        <f t="shared" si="41"/>
        <v>26064.1</v>
      </c>
      <c r="J80" s="237"/>
      <c r="K80" s="236">
        <v>0</v>
      </c>
      <c r="L80" s="235">
        <v>0</v>
      </c>
      <c r="M80" s="235"/>
      <c r="N80" s="235">
        <f t="shared" si="42"/>
        <v>0</v>
      </c>
      <c r="O80" s="235">
        <f t="shared" si="43"/>
        <v>0</v>
      </c>
      <c r="P80" s="321">
        <f t="shared" si="44"/>
        <v>0</v>
      </c>
      <c r="Q80" s="235">
        <f t="shared" si="45"/>
        <v>0</v>
      </c>
      <c r="R80" s="322">
        <f t="shared" si="46"/>
        <v>0</v>
      </c>
      <c r="S80" s="181"/>
      <c r="T80" s="205"/>
    </row>
    <row r="81" spans="1:21" ht="13.8">
      <c r="A81" s="323">
        <v>74</v>
      </c>
      <c r="B81" s="215" t="s">
        <v>74</v>
      </c>
      <c r="C81" s="214" t="s">
        <v>18</v>
      </c>
      <c r="D81" s="213">
        <v>6376.18</v>
      </c>
      <c r="E81" s="213">
        <v>0.4</v>
      </c>
      <c r="F81" s="212">
        <f t="shared" si="39"/>
        <v>2550.4699999999998</v>
      </c>
      <c r="G81" s="324">
        <f t="shared" si="40"/>
        <v>0</v>
      </c>
      <c r="H81" s="325">
        <v>0.4</v>
      </c>
      <c r="I81" s="325">
        <f t="shared" si="41"/>
        <v>2550.4699999999998</v>
      </c>
      <c r="J81" s="326"/>
      <c r="K81" s="328">
        <v>0</v>
      </c>
      <c r="L81" s="328">
        <v>0</v>
      </c>
      <c r="M81" s="328"/>
      <c r="N81" s="328">
        <f t="shared" si="42"/>
        <v>0</v>
      </c>
      <c r="O81" s="328">
        <f t="shared" si="43"/>
        <v>0</v>
      </c>
      <c r="P81" s="327">
        <f t="shared" si="44"/>
        <v>0</v>
      </c>
      <c r="Q81" s="328">
        <f t="shared" si="45"/>
        <v>0</v>
      </c>
      <c r="R81" s="329">
        <f t="shared" si="46"/>
        <v>0</v>
      </c>
      <c r="S81" s="181"/>
      <c r="T81" s="205"/>
    </row>
    <row r="82" spans="1:21" ht="13.8">
      <c r="A82" s="333"/>
      <c r="B82" s="259"/>
      <c r="C82" s="227"/>
      <c r="D82" s="226"/>
      <c r="E82" s="334"/>
      <c r="F82" s="225"/>
      <c r="G82" s="226"/>
      <c r="H82" s="225"/>
      <c r="I82" s="225"/>
      <c r="J82" s="226"/>
      <c r="K82" s="221"/>
      <c r="L82" s="221"/>
      <c r="M82" s="221"/>
      <c r="N82" s="221"/>
      <c r="O82" s="221"/>
      <c r="P82" s="222"/>
      <c r="Q82" s="221" t="str">
        <f t="shared" ref="Q82" si="47">IF(ISERROR(N82/I82),"",ROUND(N82/I82*100,2))</f>
        <v/>
      </c>
      <c r="R82" s="335" t="str">
        <f t="shared" ref="R82" si="48">IF(ISERROR(P82/I82),"",ROUND(P82/I82*100,2))</f>
        <v/>
      </c>
    </row>
    <row r="83" spans="1:21">
      <c r="A83" s="771" t="s">
        <v>16</v>
      </c>
      <c r="B83" s="772"/>
      <c r="C83" s="772"/>
      <c r="D83" s="772"/>
      <c r="E83" s="204"/>
      <c r="F83" s="211">
        <f>SUM(F16:F81)</f>
        <v>16903840.539999999</v>
      </c>
      <c r="G83" s="204"/>
      <c r="H83" s="210"/>
      <c r="I83" s="209">
        <f>SUM(I16:I81)</f>
        <v>16903840.539999999</v>
      </c>
      <c r="J83" s="204"/>
      <c r="K83" s="204"/>
      <c r="L83" s="204">
        <f>ROUND(SUM(L16:L82),2)</f>
        <v>4830533.55</v>
      </c>
      <c r="M83" s="204"/>
      <c r="N83" s="204">
        <f>SUM(N16:N82)</f>
        <v>1436153.95</v>
      </c>
      <c r="O83" s="204" t="str">
        <f>IF(M83+K83=0,"",M83+K83)</f>
        <v/>
      </c>
      <c r="P83" s="204">
        <f>ROUND(SUM(P16:P82),2)</f>
        <v>6266687.5</v>
      </c>
      <c r="Q83" s="208">
        <f>+N83/I83*100</f>
        <v>8.5</v>
      </c>
      <c r="R83" s="208"/>
      <c r="S83" s="207"/>
      <c r="T83" s="206"/>
      <c r="U83" s="205"/>
    </row>
    <row r="84" spans="1:21">
      <c r="A84" s="184"/>
      <c r="B84" s="184"/>
      <c r="C84" s="184"/>
      <c r="D84" s="184"/>
      <c r="E84" s="184"/>
      <c r="F84" s="203"/>
      <c r="G84" s="184"/>
      <c r="H84" s="184"/>
      <c r="I84" s="190"/>
      <c r="J84" s="346"/>
      <c r="K84" s="193"/>
      <c r="L84" s="192"/>
      <c r="M84" s="193"/>
      <c r="N84" s="196"/>
      <c r="O84" s="193"/>
      <c r="P84" s="192"/>
      <c r="Q84" s="184"/>
      <c r="R84" s="202"/>
    </row>
    <row r="85" spans="1:21">
      <c r="A85" s="184"/>
      <c r="B85" s="184"/>
      <c r="C85" s="184"/>
      <c r="D85" s="184"/>
      <c r="E85" s="184"/>
      <c r="F85" s="184"/>
      <c r="G85" s="184"/>
      <c r="H85" s="184"/>
      <c r="I85" s="190"/>
      <c r="J85" s="346"/>
      <c r="K85" s="193"/>
      <c r="L85" s="192"/>
      <c r="M85" s="193"/>
      <c r="N85" s="196"/>
      <c r="O85" s="193"/>
      <c r="P85" s="192"/>
      <c r="Q85" s="201"/>
      <c r="R85" s="184"/>
    </row>
    <row r="86" spans="1:21">
      <c r="A86" s="184"/>
      <c r="B86" s="184"/>
      <c r="C86" s="184"/>
      <c r="D86" s="184"/>
      <c r="E86" s="184"/>
      <c r="F86" s="200"/>
      <c r="G86" s="184"/>
      <c r="H86" s="184"/>
      <c r="I86" s="184"/>
      <c r="J86" s="346"/>
      <c r="K86" s="193"/>
      <c r="L86" s="192"/>
      <c r="M86" s="193"/>
      <c r="N86" s="199"/>
      <c r="O86" s="198"/>
      <c r="P86" s="197"/>
      <c r="Q86" s="184"/>
      <c r="R86" s="184"/>
    </row>
    <row r="87" spans="1:21">
      <c r="A87" s="184"/>
      <c r="B87" s="184"/>
      <c r="C87" s="184"/>
      <c r="D87" s="184"/>
      <c r="E87" s="184"/>
      <c r="F87" s="185"/>
      <c r="G87" s="184"/>
      <c r="H87" s="184"/>
      <c r="I87" s="184"/>
      <c r="J87" s="346"/>
      <c r="K87" s="193"/>
      <c r="L87" s="192"/>
      <c r="M87" s="193"/>
      <c r="N87" s="196"/>
      <c r="O87" s="193"/>
      <c r="P87" s="192"/>
      <c r="Q87" s="184"/>
      <c r="R87" s="184"/>
    </row>
    <row r="88" spans="1:21">
      <c r="A88" s="184"/>
      <c r="B88" s="184"/>
      <c r="C88" s="184"/>
      <c r="D88" s="184"/>
      <c r="E88" s="184"/>
      <c r="F88" s="184"/>
      <c r="G88" s="190"/>
      <c r="H88" s="184"/>
      <c r="I88" s="184"/>
      <c r="J88" s="346"/>
      <c r="K88" s="193"/>
      <c r="L88" s="195"/>
      <c r="M88" s="193"/>
      <c r="N88" s="195"/>
      <c r="O88" s="193"/>
      <c r="P88" s="195"/>
      <c r="Q88" s="194"/>
      <c r="R88" s="193"/>
    </row>
    <row r="89" spans="1:21">
      <c r="A89" s="184"/>
      <c r="B89" s="184"/>
      <c r="C89" s="184"/>
      <c r="D89" s="184"/>
      <c r="E89" s="184"/>
      <c r="F89" s="184"/>
      <c r="G89" s="190"/>
      <c r="H89" s="184"/>
      <c r="I89" s="184"/>
      <c r="J89" s="346"/>
      <c r="K89" s="193"/>
      <c r="L89" s="195"/>
      <c r="M89" s="193"/>
      <c r="N89" s="195"/>
      <c r="O89" s="193"/>
      <c r="P89" s="195"/>
      <c r="Q89" s="194"/>
      <c r="R89" s="193"/>
    </row>
    <row r="90" spans="1:21">
      <c r="A90" s="184"/>
      <c r="B90" s="184"/>
      <c r="C90" s="184"/>
      <c r="D90" s="184"/>
      <c r="E90" s="184"/>
      <c r="F90" s="184"/>
      <c r="G90" s="190"/>
      <c r="H90" s="184"/>
      <c r="I90" s="184"/>
      <c r="J90" s="346"/>
      <c r="K90" s="193"/>
      <c r="L90" s="195"/>
      <c r="M90" s="193"/>
      <c r="N90" s="195"/>
      <c r="O90" s="193"/>
      <c r="P90" s="195"/>
      <c r="Q90" s="194"/>
      <c r="R90" s="193"/>
    </row>
    <row r="91" spans="1:21">
      <c r="A91" s="184"/>
      <c r="B91" s="184"/>
      <c r="C91" s="184"/>
      <c r="D91" s="184"/>
      <c r="E91" s="184"/>
      <c r="F91" s="184"/>
      <c r="G91" s="190"/>
      <c r="H91" s="184"/>
      <c r="I91" s="184"/>
      <c r="J91" s="346"/>
      <c r="K91" s="193"/>
      <c r="L91" s="195"/>
      <c r="M91" s="193"/>
      <c r="N91" s="195"/>
      <c r="O91" s="193"/>
      <c r="P91" s="195"/>
      <c r="Q91" s="194"/>
      <c r="R91" s="193"/>
    </row>
    <row r="92" spans="1:21">
      <c r="A92" s="184"/>
      <c r="B92" s="184"/>
      <c r="C92" s="184"/>
      <c r="D92" s="184"/>
      <c r="E92" s="184"/>
      <c r="F92" s="184"/>
      <c r="G92" s="190"/>
      <c r="H92" s="184"/>
      <c r="I92" s="184"/>
      <c r="J92" s="346"/>
      <c r="K92" s="193"/>
      <c r="L92" s="195"/>
      <c r="M92" s="193"/>
      <c r="N92" s="195"/>
      <c r="O92" s="193"/>
      <c r="P92" s="195"/>
      <c r="Q92" s="194"/>
      <c r="R92" s="193"/>
    </row>
    <row r="93" spans="1:21">
      <c r="A93" s="184"/>
      <c r="B93" s="184"/>
      <c r="C93" s="184"/>
      <c r="D93" s="184"/>
      <c r="E93" s="184"/>
      <c r="F93" s="184"/>
      <c r="G93" s="190"/>
      <c r="H93" s="184"/>
      <c r="I93" s="184"/>
      <c r="J93" s="346"/>
      <c r="K93" s="193"/>
      <c r="L93" s="195"/>
      <c r="M93" s="193"/>
      <c r="N93" s="195"/>
      <c r="O93" s="193"/>
      <c r="P93" s="195"/>
      <c r="Q93" s="194"/>
      <c r="R93" s="193"/>
    </row>
    <row r="94" spans="1:21">
      <c r="A94" s="184"/>
      <c r="B94" s="184"/>
      <c r="C94" s="184"/>
      <c r="D94" s="184"/>
      <c r="E94" s="184"/>
      <c r="F94" s="184"/>
      <c r="G94" s="190"/>
      <c r="H94" s="184"/>
      <c r="I94" s="184"/>
      <c r="J94" s="346"/>
      <c r="K94" s="193"/>
      <c r="L94" s="195"/>
      <c r="M94" s="193"/>
      <c r="N94" s="195"/>
      <c r="O94" s="193"/>
      <c r="P94" s="195"/>
      <c r="Q94" s="194"/>
      <c r="R94" s="193"/>
    </row>
    <row r="95" spans="1:21">
      <c r="A95" s="184"/>
      <c r="B95" s="184"/>
      <c r="C95" s="184"/>
      <c r="D95" s="184"/>
      <c r="E95" s="184"/>
      <c r="F95" s="184"/>
      <c r="G95" s="190"/>
      <c r="H95" s="184"/>
      <c r="I95" s="184"/>
      <c r="J95" s="346"/>
      <c r="K95" s="193"/>
      <c r="L95" s="195"/>
      <c r="M95" s="193"/>
      <c r="N95" s="195"/>
      <c r="O95" s="193"/>
      <c r="P95" s="195"/>
      <c r="Q95" s="194"/>
      <c r="R95" s="193"/>
    </row>
    <row r="96" spans="1:21">
      <c r="A96" s="184"/>
      <c r="B96" s="184"/>
      <c r="C96" s="184"/>
      <c r="D96" s="184"/>
      <c r="E96" s="184"/>
      <c r="F96" s="184"/>
      <c r="G96" s="190"/>
      <c r="H96" s="184"/>
      <c r="I96" s="184"/>
      <c r="J96" s="346"/>
      <c r="K96" s="193"/>
      <c r="L96" s="195"/>
      <c r="M96" s="193"/>
      <c r="N96" s="195"/>
      <c r="O96" s="193"/>
      <c r="P96" s="195"/>
      <c r="Q96" s="194"/>
      <c r="R96" s="193"/>
    </row>
    <row r="97" spans="1:18">
      <c r="A97" s="184"/>
      <c r="B97" s="184"/>
      <c r="C97" s="184"/>
      <c r="D97" s="184"/>
      <c r="E97" s="184"/>
      <c r="F97" s="184"/>
      <c r="G97" s="184"/>
      <c r="H97" s="184"/>
      <c r="I97" s="184"/>
      <c r="J97" s="346"/>
      <c r="K97" s="193"/>
      <c r="L97" s="192"/>
      <c r="M97" s="193"/>
      <c r="N97" s="192"/>
      <c r="O97" s="193"/>
      <c r="P97" s="192"/>
      <c r="Q97" s="190"/>
      <c r="R97" s="184"/>
    </row>
    <row r="98" spans="1:18">
      <c r="A98" s="191"/>
      <c r="B98" s="184"/>
      <c r="C98" s="184"/>
      <c r="D98" s="184"/>
      <c r="E98" s="184"/>
      <c r="F98" s="189"/>
      <c r="G98" s="184"/>
      <c r="H98" s="184"/>
      <c r="I98" s="184"/>
      <c r="J98" s="346"/>
      <c r="K98" s="184"/>
      <c r="L98" s="190"/>
      <c r="M98" s="184"/>
      <c r="N98" s="184"/>
      <c r="O98" s="184"/>
      <c r="P98" s="185"/>
      <c r="Q98" s="184"/>
      <c r="R98" s="184"/>
    </row>
    <row r="99" spans="1:18">
      <c r="A99" s="184"/>
      <c r="B99" s="184"/>
      <c r="C99" s="184"/>
      <c r="D99" s="184"/>
      <c r="E99" s="184"/>
      <c r="F99" s="189"/>
      <c r="G99" s="184"/>
      <c r="H99" s="184"/>
      <c r="I99" s="184"/>
      <c r="J99" s="346"/>
      <c r="K99" s="184"/>
      <c r="L99" s="188"/>
      <c r="M99" s="184"/>
      <c r="N99" s="187"/>
      <c r="O99" s="184"/>
      <c r="P99" s="186"/>
      <c r="Q99" s="185"/>
      <c r="R99" s="184"/>
    </row>
    <row r="100" spans="1:18">
      <c r="A100" s="184"/>
      <c r="B100" s="184"/>
      <c r="C100" s="184"/>
      <c r="D100" s="184"/>
      <c r="E100" s="184"/>
      <c r="F100" s="184"/>
      <c r="G100" s="184"/>
      <c r="H100" s="184"/>
      <c r="I100" s="184"/>
      <c r="J100" s="346"/>
      <c r="K100" s="184"/>
      <c r="L100" s="184"/>
      <c r="M100" s="184"/>
      <c r="N100" s="185"/>
      <c r="O100" s="184"/>
      <c r="P100" s="184"/>
      <c r="Q100" s="184"/>
      <c r="R100" s="184"/>
    </row>
    <row r="101" spans="1:18">
      <c r="A101" s="184"/>
      <c r="B101" s="184"/>
      <c r="C101" s="184"/>
      <c r="D101" s="184"/>
      <c r="E101" s="184"/>
      <c r="F101" s="184"/>
      <c r="G101" s="184"/>
      <c r="H101" s="184"/>
      <c r="I101" s="184"/>
      <c r="J101" s="346"/>
      <c r="K101" s="184"/>
      <c r="L101" s="184"/>
      <c r="M101" s="184"/>
      <c r="N101" s="184"/>
      <c r="O101" s="184"/>
      <c r="P101" s="184"/>
      <c r="Q101" s="184"/>
      <c r="R101" s="184"/>
    </row>
    <row r="103" spans="1:18" ht="24.75" customHeight="1"/>
    <row r="104" spans="1:18">
      <c r="N104" s="183"/>
    </row>
    <row r="105" spans="1:18">
      <c r="F105" s="181"/>
      <c r="N105" s="182"/>
      <c r="O105" s="182"/>
    </row>
    <row r="106" spans="1:18">
      <c r="N106" s="181"/>
    </row>
    <row r="109" spans="1:18">
      <c r="F109" s="180"/>
    </row>
    <row r="110" spans="1:18">
      <c r="F110" s="179"/>
    </row>
    <row r="111" spans="1:18">
      <c r="E111" s="178"/>
    </row>
    <row r="112" spans="1:18">
      <c r="E112" s="177"/>
    </row>
    <row r="113" spans="5:5">
      <c r="E113" s="177"/>
    </row>
  </sheetData>
  <mergeCells count="34">
    <mergeCell ref="D10:R10"/>
    <mergeCell ref="A1:R1"/>
    <mergeCell ref="A2:R2"/>
    <mergeCell ref="A3:B3"/>
    <mergeCell ref="C3:R3"/>
    <mergeCell ref="A4:B4"/>
    <mergeCell ref="C4:R4"/>
    <mergeCell ref="D5:R5"/>
    <mergeCell ref="D6:R6"/>
    <mergeCell ref="D7:R7"/>
    <mergeCell ref="D8:R8"/>
    <mergeCell ref="D9:R9"/>
    <mergeCell ref="D11:R11"/>
    <mergeCell ref="A12:A14"/>
    <mergeCell ref="B12:B14"/>
    <mergeCell ref="C12:F12"/>
    <mergeCell ref="G12:J12"/>
    <mergeCell ref="K12:L12"/>
    <mergeCell ref="M12:N12"/>
    <mergeCell ref="O12:P12"/>
    <mergeCell ref="Q12:R12"/>
    <mergeCell ref="C13:D13"/>
    <mergeCell ref="K13:K14"/>
    <mergeCell ref="M13:M14"/>
    <mergeCell ref="O13:O14"/>
    <mergeCell ref="Q13:Q14"/>
    <mergeCell ref="R13:R14"/>
    <mergeCell ref="I13:I14"/>
    <mergeCell ref="J13:J14"/>
    <mergeCell ref="A83:D83"/>
    <mergeCell ref="E13:E14"/>
    <mergeCell ref="F13:F14"/>
    <mergeCell ref="G13:G14"/>
    <mergeCell ref="H13:H14"/>
  </mergeCells>
  <conditionalFormatting sqref="A15:R81">
    <cfRule type="expression" dxfId="5" priority="1">
      <formula>IF($M15&gt;0,1,0)</formula>
    </cfRule>
  </conditionalFormatting>
  <printOptions horizontalCentered="1"/>
  <pageMargins left="3.937007874015748E-2" right="0" top="0.43307086614173229" bottom="0.19685039370078741" header="0" footer="0"/>
  <pageSetup scale="57" fitToHeight="0" orientation="landscape" horizontalDpi="4294967293" r:id="rId1"/>
  <headerFooter scaleWithDoc="0" alignWithMargins="0"/>
  <rowBreaks count="1" manualBreakCount="1">
    <brk id="68" min="1" max="17" man="1"/>
  </rowBreaks>
  <colBreaks count="1" manualBreakCount="1">
    <brk id="18" max="1048575" man="1"/>
  </colBreaks>
  <ignoredErrors>
    <ignoredError sqref="I16:I81" unlockedFormula="1"/>
  </ignoredError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tabColor theme="8" tint="-0.249977111117893"/>
    <pageSetUpPr fitToPage="1"/>
  </sheetPr>
  <dimension ref="A1:AG113"/>
  <sheetViews>
    <sheetView showGridLines="0" view="pageBreakPreview" zoomScale="115" zoomScaleNormal="90" zoomScaleSheetLayoutView="115" zoomScalePageLayoutView="60" workbookViewId="0">
      <selection sqref="A1:R1"/>
    </sheetView>
  </sheetViews>
  <sheetFormatPr baseColWidth="10" defaultColWidth="11.44140625" defaultRowHeight="13.2"/>
  <cols>
    <col min="1" max="1" width="5.44140625" style="347" customWidth="1"/>
    <col min="2" max="2" width="53.44140625" style="347" customWidth="1"/>
    <col min="3" max="3" width="6.109375" style="347" customWidth="1"/>
    <col min="4" max="4" width="10.5546875" style="347" customWidth="1"/>
    <col min="5" max="5" width="10.88671875" style="347" customWidth="1"/>
    <col min="6" max="6" width="14.33203125" style="347" customWidth="1"/>
    <col min="7" max="7" width="10" style="347" customWidth="1"/>
    <col min="8" max="8" width="11.109375" style="347" customWidth="1"/>
    <col min="9" max="9" width="13.5546875" style="347" customWidth="1"/>
    <col min="10" max="10" width="8.6640625" style="347" customWidth="1"/>
    <col min="11" max="11" width="10.6640625" style="347" customWidth="1"/>
    <col min="12" max="12" width="13.88671875" style="347" customWidth="1"/>
    <col min="13" max="13" width="11.33203125" style="347" customWidth="1"/>
    <col min="14" max="14" width="15.6640625" style="347" customWidth="1"/>
    <col min="15" max="15" width="12.5546875" style="347" customWidth="1"/>
    <col min="16" max="16" width="13.6640625" style="347" customWidth="1"/>
    <col min="17" max="17" width="10.5546875" style="347" customWidth="1"/>
    <col min="18" max="18" width="10.109375" style="347" customWidth="1"/>
    <col min="19" max="19" width="20" style="347" customWidth="1"/>
    <col min="20" max="20" width="20" style="443" customWidth="1"/>
    <col min="21" max="21" width="20.33203125" style="443" customWidth="1"/>
    <col min="22" max="22" width="16" style="347" customWidth="1"/>
    <col min="23" max="23" width="11.44140625" style="347"/>
    <col min="24" max="24" width="23.44140625" style="347" customWidth="1"/>
    <col min="25" max="25" width="16.88671875" style="347" customWidth="1"/>
    <col min="26" max="16384" width="11.44140625" style="347"/>
  </cols>
  <sheetData>
    <row r="1" spans="1:25" s="276" customFormat="1" ht="23.25" customHeight="1">
      <c r="A1" s="790" t="s">
        <v>197</v>
      </c>
      <c r="B1" s="791"/>
      <c r="C1" s="791"/>
      <c r="D1" s="791"/>
      <c r="E1" s="791"/>
      <c r="F1" s="791"/>
      <c r="G1" s="791"/>
      <c r="H1" s="791"/>
      <c r="I1" s="791"/>
      <c r="J1" s="791"/>
      <c r="K1" s="791"/>
      <c r="L1" s="791"/>
      <c r="M1" s="791"/>
      <c r="N1" s="791"/>
      <c r="O1" s="791"/>
      <c r="P1" s="791"/>
      <c r="Q1" s="791"/>
      <c r="R1" s="792"/>
      <c r="T1" s="277"/>
      <c r="U1" s="277"/>
    </row>
    <row r="2" spans="1:25" s="2" customFormat="1" ht="18.75" customHeight="1">
      <c r="A2" s="793" t="str">
        <f>ANALISIS!A2:F2</f>
        <v>PROYECTO:  MEJORAMIENTO CAMINO ROSARIO DEL INGRE - MACHICOCA - IVOCA (FASE I)</v>
      </c>
      <c r="B2" s="794"/>
      <c r="C2" s="794"/>
      <c r="D2" s="794"/>
      <c r="E2" s="794"/>
      <c r="F2" s="794"/>
      <c r="G2" s="794"/>
      <c r="H2" s="794"/>
      <c r="I2" s="794"/>
      <c r="J2" s="794"/>
      <c r="K2" s="794"/>
      <c r="L2" s="794"/>
      <c r="M2" s="794"/>
      <c r="N2" s="794"/>
      <c r="O2" s="794"/>
      <c r="P2" s="794"/>
      <c r="Q2" s="794"/>
      <c r="R2" s="795"/>
      <c r="T2" s="6"/>
      <c r="U2" s="6"/>
    </row>
    <row r="3" spans="1:25" s="266" customFormat="1" ht="18.75" customHeight="1">
      <c r="A3" s="796" t="s">
        <v>9</v>
      </c>
      <c r="B3" s="719"/>
      <c r="C3" s="797" t="s">
        <v>78</v>
      </c>
      <c r="D3" s="797"/>
      <c r="E3" s="797"/>
      <c r="F3" s="797"/>
      <c r="G3" s="797"/>
      <c r="H3" s="797"/>
      <c r="I3" s="797"/>
      <c r="J3" s="797"/>
      <c r="K3" s="797"/>
      <c r="L3" s="797"/>
      <c r="M3" s="797"/>
      <c r="N3" s="797"/>
      <c r="O3" s="797"/>
      <c r="P3" s="797"/>
      <c r="Q3" s="797"/>
      <c r="R3" s="798"/>
      <c r="T3" s="267"/>
      <c r="U3" s="267"/>
    </row>
    <row r="4" spans="1:25" s="266" customFormat="1" ht="17.25" customHeight="1">
      <c r="A4" s="796" t="s">
        <v>15</v>
      </c>
      <c r="B4" s="719"/>
      <c r="C4" s="799" t="s">
        <v>77</v>
      </c>
      <c r="D4" s="799"/>
      <c r="E4" s="799"/>
      <c r="F4" s="799"/>
      <c r="G4" s="799"/>
      <c r="H4" s="799"/>
      <c r="I4" s="799"/>
      <c r="J4" s="799"/>
      <c r="K4" s="799"/>
      <c r="L4" s="799"/>
      <c r="M4" s="799"/>
      <c r="N4" s="799"/>
      <c r="O4" s="799"/>
      <c r="P4" s="799"/>
      <c r="Q4" s="799"/>
      <c r="R4" s="800"/>
      <c r="T4" s="267"/>
      <c r="U4" s="267"/>
    </row>
    <row r="5" spans="1:25" s="266" customFormat="1" ht="13.8">
      <c r="A5" s="274"/>
      <c r="B5" s="273" t="s">
        <v>11</v>
      </c>
      <c r="C5" s="272"/>
      <c r="D5" s="706">
        <v>43759</v>
      </c>
      <c r="E5" s="706"/>
      <c r="F5" s="706"/>
      <c r="G5" s="706"/>
      <c r="H5" s="706"/>
      <c r="I5" s="706"/>
      <c r="J5" s="706"/>
      <c r="K5" s="706"/>
      <c r="L5" s="706"/>
      <c r="M5" s="706"/>
      <c r="N5" s="706"/>
      <c r="O5" s="706"/>
      <c r="P5" s="706"/>
      <c r="Q5" s="706"/>
      <c r="R5" s="801"/>
      <c r="T5" s="267"/>
      <c r="U5" s="267"/>
    </row>
    <row r="6" spans="1:25" s="266" customFormat="1" ht="13.8">
      <c r="A6" s="270"/>
      <c r="B6" s="269" t="s">
        <v>12</v>
      </c>
      <c r="C6" s="271"/>
      <c r="D6" s="710" t="s">
        <v>85</v>
      </c>
      <c r="E6" s="710"/>
      <c r="F6" s="710"/>
      <c r="G6" s="710"/>
      <c r="H6" s="710"/>
      <c r="I6" s="710"/>
      <c r="J6" s="710"/>
      <c r="K6" s="710"/>
      <c r="L6" s="710"/>
      <c r="M6" s="710"/>
      <c r="N6" s="710"/>
      <c r="O6" s="710"/>
      <c r="P6" s="710"/>
      <c r="Q6" s="710"/>
      <c r="R6" s="789"/>
      <c r="T6" s="267"/>
      <c r="U6" s="267"/>
    </row>
    <row r="7" spans="1:25" s="266" customFormat="1" ht="13.8">
      <c r="A7" s="270"/>
      <c r="B7" s="269" t="s">
        <v>13</v>
      </c>
      <c r="C7" s="271"/>
      <c r="D7" s="708" t="s">
        <v>86</v>
      </c>
      <c r="E7" s="708"/>
      <c r="F7" s="708"/>
      <c r="G7" s="708"/>
      <c r="H7" s="708"/>
      <c r="I7" s="708"/>
      <c r="J7" s="708"/>
      <c r="K7" s="708"/>
      <c r="L7" s="708"/>
      <c r="M7" s="708"/>
      <c r="N7" s="708"/>
      <c r="O7" s="708"/>
      <c r="P7" s="708"/>
      <c r="Q7" s="708"/>
      <c r="R7" s="802"/>
      <c r="T7" s="267"/>
      <c r="U7" s="267"/>
    </row>
    <row r="8" spans="1:25" s="266" customFormat="1" ht="13.8">
      <c r="A8" s="270"/>
      <c r="B8" s="269" t="s">
        <v>14</v>
      </c>
      <c r="C8" s="271"/>
      <c r="D8" s="710">
        <f>600+D5</f>
        <v>44359</v>
      </c>
      <c r="E8" s="710"/>
      <c r="F8" s="710"/>
      <c r="G8" s="710"/>
      <c r="H8" s="710"/>
      <c r="I8" s="710"/>
      <c r="J8" s="710"/>
      <c r="K8" s="710"/>
      <c r="L8" s="710"/>
      <c r="M8" s="710"/>
      <c r="N8" s="710"/>
      <c r="O8" s="710"/>
      <c r="P8" s="710"/>
      <c r="Q8" s="710"/>
      <c r="R8" s="789"/>
      <c r="T8" s="267"/>
      <c r="U8" s="267"/>
    </row>
    <row r="9" spans="1:25" s="266" customFormat="1" ht="13.8">
      <c r="A9" s="270"/>
      <c r="B9" s="269" t="s">
        <v>88</v>
      </c>
      <c r="C9" s="271"/>
      <c r="D9" s="710" t="s">
        <v>87</v>
      </c>
      <c r="E9" s="710"/>
      <c r="F9" s="710"/>
      <c r="G9" s="710"/>
      <c r="H9" s="710"/>
      <c r="I9" s="710"/>
      <c r="J9" s="710"/>
      <c r="K9" s="710"/>
      <c r="L9" s="710"/>
      <c r="M9" s="710"/>
      <c r="N9" s="710"/>
      <c r="O9" s="710"/>
      <c r="P9" s="710"/>
      <c r="Q9" s="710"/>
      <c r="R9" s="789"/>
      <c r="T9" s="267"/>
      <c r="U9" s="267"/>
    </row>
    <row r="10" spans="1:25" s="266" customFormat="1" ht="13.8">
      <c r="A10" s="270"/>
      <c r="B10" s="269" t="s">
        <v>79</v>
      </c>
      <c r="C10" s="271"/>
      <c r="D10" s="710">
        <v>44570</v>
      </c>
      <c r="E10" s="710"/>
      <c r="F10" s="710"/>
      <c r="G10" s="710"/>
      <c r="H10" s="710"/>
      <c r="I10" s="710"/>
      <c r="J10" s="710"/>
      <c r="K10" s="710"/>
      <c r="L10" s="710"/>
      <c r="M10" s="710"/>
      <c r="N10" s="710"/>
      <c r="O10" s="710"/>
      <c r="P10" s="710"/>
      <c r="Q10" s="710"/>
      <c r="R10" s="789"/>
      <c r="T10" s="267"/>
      <c r="U10" s="267"/>
    </row>
    <row r="11" spans="1:25" s="266" customFormat="1" ht="13.8">
      <c r="A11" s="438"/>
      <c r="B11" s="439" t="s">
        <v>196</v>
      </c>
      <c r="C11" s="440"/>
      <c r="D11" s="803">
        <v>0</v>
      </c>
      <c r="E11" s="803"/>
      <c r="F11" s="803"/>
      <c r="G11" s="803"/>
      <c r="H11" s="803"/>
      <c r="I11" s="803"/>
      <c r="J11" s="803"/>
      <c r="K11" s="803"/>
      <c r="L11" s="803"/>
      <c r="M11" s="803"/>
      <c r="N11" s="803"/>
      <c r="O11" s="803"/>
      <c r="P11" s="803"/>
      <c r="Q11" s="803"/>
      <c r="R11" s="804"/>
      <c r="T11" s="267"/>
      <c r="U11" s="267"/>
    </row>
    <row r="12" spans="1:25" s="260" customFormat="1" ht="20.25" customHeight="1">
      <c r="A12" s="777" t="s">
        <v>2</v>
      </c>
      <c r="B12" s="728" t="s">
        <v>0</v>
      </c>
      <c r="C12" s="779" t="s">
        <v>3</v>
      </c>
      <c r="D12" s="779"/>
      <c r="E12" s="779"/>
      <c r="F12" s="779"/>
      <c r="G12" s="780" t="s">
        <v>80</v>
      </c>
      <c r="H12" s="781"/>
      <c r="I12" s="781"/>
      <c r="J12" s="782"/>
      <c r="K12" s="779" t="s">
        <v>195</v>
      </c>
      <c r="L12" s="779"/>
      <c r="M12" s="783" t="s">
        <v>194</v>
      </c>
      <c r="N12" s="784"/>
      <c r="O12" s="779" t="s">
        <v>161</v>
      </c>
      <c r="P12" s="779"/>
      <c r="Q12" s="785" t="s">
        <v>193</v>
      </c>
      <c r="R12" s="786"/>
      <c r="T12" s="261"/>
      <c r="U12" s="261"/>
    </row>
    <row r="13" spans="1:25" s="260" customFormat="1" ht="12.75" customHeight="1">
      <c r="A13" s="777"/>
      <c r="B13" s="728"/>
      <c r="C13" s="779" t="s">
        <v>5</v>
      </c>
      <c r="D13" s="779"/>
      <c r="E13" s="728" t="s">
        <v>1</v>
      </c>
      <c r="F13" s="728" t="s">
        <v>6</v>
      </c>
      <c r="G13" s="773" t="s">
        <v>81</v>
      </c>
      <c r="H13" s="773" t="s">
        <v>82</v>
      </c>
      <c r="I13" s="773" t="s">
        <v>192</v>
      </c>
      <c r="J13" s="729" t="s">
        <v>4</v>
      </c>
      <c r="K13" s="728" t="s">
        <v>1</v>
      </c>
      <c r="L13" s="437" t="s">
        <v>189</v>
      </c>
      <c r="M13" s="728" t="s">
        <v>1</v>
      </c>
      <c r="N13" s="437" t="s">
        <v>189</v>
      </c>
      <c r="O13" s="728" t="s">
        <v>1</v>
      </c>
      <c r="P13" s="437" t="s">
        <v>189</v>
      </c>
      <c r="Q13" s="728" t="s">
        <v>191</v>
      </c>
      <c r="R13" s="787" t="s">
        <v>190</v>
      </c>
      <c r="T13" s="261"/>
      <c r="U13" s="261"/>
    </row>
    <row r="14" spans="1:25" s="260" customFormat="1" ht="33.75" customHeight="1">
      <c r="A14" s="778"/>
      <c r="B14" s="729"/>
      <c r="C14" s="264" t="s">
        <v>7</v>
      </c>
      <c r="D14" s="264" t="s">
        <v>8</v>
      </c>
      <c r="E14" s="729"/>
      <c r="F14" s="729"/>
      <c r="G14" s="774"/>
      <c r="H14" s="774"/>
      <c r="I14" s="774"/>
      <c r="J14" s="770"/>
      <c r="K14" s="729"/>
      <c r="L14" s="264" t="s">
        <v>8</v>
      </c>
      <c r="M14" s="729"/>
      <c r="N14" s="264" t="s">
        <v>8</v>
      </c>
      <c r="O14" s="729"/>
      <c r="P14" s="264" t="s">
        <v>8</v>
      </c>
      <c r="Q14" s="729"/>
      <c r="R14" s="788" t="s">
        <v>188</v>
      </c>
      <c r="S14" s="263"/>
      <c r="T14" s="262"/>
      <c r="U14" s="261"/>
    </row>
    <row r="15" spans="1:25" ht="13.8">
      <c r="A15" s="441"/>
      <c r="B15" s="442" t="s">
        <v>26</v>
      </c>
      <c r="C15" s="227"/>
      <c r="D15" s="259"/>
      <c r="E15" s="259"/>
      <c r="F15" s="258"/>
      <c r="G15" s="226"/>
      <c r="H15" s="226"/>
      <c r="I15" s="226"/>
      <c r="J15" s="224"/>
      <c r="K15" s="258"/>
      <c r="L15" s="221"/>
      <c r="M15" s="221"/>
      <c r="N15" s="221"/>
      <c r="O15" s="221"/>
      <c r="P15" s="221"/>
      <c r="Q15" s="221"/>
      <c r="R15" s="220"/>
    </row>
    <row r="16" spans="1:25" ht="13.8">
      <c r="A16" s="444">
        <v>1</v>
      </c>
      <c r="B16" s="241" t="s">
        <v>17</v>
      </c>
      <c r="C16" s="234" t="s">
        <v>18</v>
      </c>
      <c r="D16" s="233">
        <v>47860.38</v>
      </c>
      <c r="E16" s="233">
        <v>0.5</v>
      </c>
      <c r="F16" s="240">
        <f t="shared" ref="F16:F21" si="0">D16*E16</f>
        <v>23930.19</v>
      </c>
      <c r="G16" s="314">
        <v>0</v>
      </c>
      <c r="H16" s="315">
        <v>0.5</v>
      </c>
      <c r="I16" s="315">
        <f t="shared" ref="I16:I21" si="1">+H16*D16</f>
        <v>23930.19</v>
      </c>
      <c r="J16" s="330"/>
      <c r="K16" s="317">
        <v>0.5</v>
      </c>
      <c r="L16" s="318">
        <v>23930.19</v>
      </c>
      <c r="M16" s="317"/>
      <c r="N16" s="318">
        <f t="shared" ref="N16:N21" si="2">ROUND(M16*D16,2)</f>
        <v>0</v>
      </c>
      <c r="O16" s="317">
        <f t="shared" ref="O16:O34" si="3">IF(M16+K16=0,"",M16+K16)</f>
        <v>0.5</v>
      </c>
      <c r="P16" s="318">
        <f t="shared" ref="P16:P21" si="4">L16+N16</f>
        <v>23930.19</v>
      </c>
      <c r="Q16" s="317">
        <f>IF(ISERROR(N16/I16),"",ROUND(N16/I16*100,2))</f>
        <v>0</v>
      </c>
      <c r="R16" s="319">
        <f t="shared" ref="R16:R21" si="5">IF(ISERROR(P16/I16),"",ROUND(P16/I16*100,2))</f>
        <v>100</v>
      </c>
      <c r="S16" s="445"/>
      <c r="T16" s="254"/>
      <c r="W16" s="446"/>
      <c r="X16" s="446"/>
      <c r="Y16" s="447"/>
    </row>
    <row r="17" spans="1:33" ht="13.8">
      <c r="A17" s="448">
        <f>1+A16</f>
        <v>2</v>
      </c>
      <c r="B17" s="219" t="s">
        <v>19</v>
      </c>
      <c r="C17" s="218" t="s">
        <v>20</v>
      </c>
      <c r="D17" s="217">
        <v>4767.6099999999997</v>
      </c>
      <c r="E17" s="217">
        <v>5.57</v>
      </c>
      <c r="F17" s="216">
        <f t="shared" si="0"/>
        <v>26555.59</v>
      </c>
      <c r="G17" s="320">
        <f>+H17-E17</f>
        <v>0</v>
      </c>
      <c r="H17" s="238">
        <v>5.57</v>
      </c>
      <c r="I17" s="238">
        <f t="shared" si="1"/>
        <v>26555.59</v>
      </c>
      <c r="J17" s="237"/>
      <c r="K17" s="320">
        <v>5.57</v>
      </c>
      <c r="L17" s="321">
        <v>26555.59</v>
      </c>
      <c r="M17" s="235"/>
      <c r="N17" s="321">
        <f t="shared" si="2"/>
        <v>0</v>
      </c>
      <c r="O17" s="235">
        <f t="shared" si="3"/>
        <v>5.57</v>
      </c>
      <c r="P17" s="321">
        <f t="shared" si="4"/>
        <v>26555.59</v>
      </c>
      <c r="Q17" s="235">
        <f t="shared" ref="Q17:Q21" si="6">IF(ISERROR(N17/I17),"",ROUND(N17/I17*100,2))</f>
        <v>0</v>
      </c>
      <c r="R17" s="322">
        <f t="shared" si="5"/>
        <v>100</v>
      </c>
      <c r="S17" s="445"/>
      <c r="T17" s="254"/>
      <c r="W17" s="446"/>
      <c r="X17" s="446"/>
      <c r="Y17" s="447"/>
    </row>
    <row r="18" spans="1:33" s="452" customFormat="1" ht="13.8">
      <c r="A18" s="448">
        <f>1+A17</f>
        <v>3</v>
      </c>
      <c r="B18" s="219" t="s">
        <v>21</v>
      </c>
      <c r="C18" s="218" t="s">
        <v>10</v>
      </c>
      <c r="D18" s="217">
        <v>15.64</v>
      </c>
      <c r="E18" s="217">
        <v>40377.64</v>
      </c>
      <c r="F18" s="216">
        <f t="shared" si="0"/>
        <v>631506.29</v>
      </c>
      <c r="G18" s="320">
        <f>+H18-E18</f>
        <v>57206.19</v>
      </c>
      <c r="H18" s="238">
        <v>97583.83</v>
      </c>
      <c r="I18" s="238">
        <f t="shared" si="1"/>
        <v>1526211.1</v>
      </c>
      <c r="J18" s="237"/>
      <c r="K18" s="235">
        <v>67308.03</v>
      </c>
      <c r="L18" s="321">
        <v>1052697.5900000001</v>
      </c>
      <c r="M18" s="235">
        <v>27823.9</v>
      </c>
      <c r="N18" s="321">
        <f t="shared" si="2"/>
        <v>435165.8</v>
      </c>
      <c r="O18" s="235">
        <f t="shared" si="3"/>
        <v>95131.93</v>
      </c>
      <c r="P18" s="321">
        <f t="shared" si="4"/>
        <v>1487863.39</v>
      </c>
      <c r="Q18" s="235">
        <f t="shared" si="6"/>
        <v>28.51</v>
      </c>
      <c r="R18" s="322">
        <f t="shared" si="5"/>
        <v>97.49</v>
      </c>
      <c r="S18" s="449"/>
      <c r="T18" s="449"/>
      <c r="U18" s="449"/>
      <c r="V18" s="450"/>
      <c r="W18" s="451"/>
      <c r="X18" s="451"/>
      <c r="Y18" s="447"/>
      <c r="Z18" s="450"/>
      <c r="AA18" s="450"/>
      <c r="AB18" s="450"/>
      <c r="AC18" s="450"/>
      <c r="AD18" s="450"/>
      <c r="AE18" s="450"/>
      <c r="AF18" s="450"/>
      <c r="AG18" s="450"/>
    </row>
    <row r="19" spans="1:33" s="452" customFormat="1" ht="13.8">
      <c r="A19" s="448">
        <f>1+A18</f>
        <v>4</v>
      </c>
      <c r="B19" s="219" t="s">
        <v>22</v>
      </c>
      <c r="C19" s="218" t="s">
        <v>10</v>
      </c>
      <c r="D19" s="217">
        <v>18.52</v>
      </c>
      <c r="E19" s="217">
        <v>10580</v>
      </c>
      <c r="F19" s="216">
        <f t="shared" si="0"/>
        <v>195941.6</v>
      </c>
      <c r="G19" s="320">
        <f>+H19-E19</f>
        <v>17742.57</v>
      </c>
      <c r="H19" s="238">
        <v>28322.57</v>
      </c>
      <c r="I19" s="238">
        <f t="shared" si="1"/>
        <v>524534</v>
      </c>
      <c r="J19" s="237"/>
      <c r="K19" s="235">
        <v>16546.02</v>
      </c>
      <c r="L19" s="321">
        <v>306432.28999999998</v>
      </c>
      <c r="M19" s="235">
        <v>8644.2999999999993</v>
      </c>
      <c r="N19" s="321">
        <f t="shared" si="2"/>
        <v>160092.44</v>
      </c>
      <c r="O19" s="235">
        <f t="shared" si="3"/>
        <v>25190.32</v>
      </c>
      <c r="P19" s="321">
        <f t="shared" si="4"/>
        <v>466524.73</v>
      </c>
      <c r="Q19" s="235">
        <f t="shared" si="6"/>
        <v>30.52</v>
      </c>
      <c r="R19" s="322">
        <f t="shared" si="5"/>
        <v>88.94</v>
      </c>
      <c r="S19" s="449"/>
      <c r="T19" s="449"/>
      <c r="U19" s="449"/>
      <c r="V19" s="450"/>
      <c r="W19" s="451"/>
      <c r="X19" s="451"/>
      <c r="Y19" s="447"/>
      <c r="Z19" s="450"/>
      <c r="AA19" s="450"/>
      <c r="AB19" s="450"/>
      <c r="AC19" s="450"/>
      <c r="AD19" s="450"/>
      <c r="AE19" s="450"/>
      <c r="AF19" s="450"/>
      <c r="AG19" s="450"/>
    </row>
    <row r="20" spans="1:33" ht="13.8">
      <c r="A20" s="448">
        <f>1+A19</f>
        <v>5</v>
      </c>
      <c r="B20" s="257" t="s">
        <v>23</v>
      </c>
      <c r="C20" s="218" t="s">
        <v>10</v>
      </c>
      <c r="D20" s="217">
        <v>57.61</v>
      </c>
      <c r="E20" s="217">
        <v>11436.25</v>
      </c>
      <c r="F20" s="216">
        <f t="shared" si="0"/>
        <v>658842.36</v>
      </c>
      <c r="G20" s="320">
        <f>+H20-E20</f>
        <v>-2950.25</v>
      </c>
      <c r="H20" s="238">
        <v>8486</v>
      </c>
      <c r="I20" s="238">
        <f t="shared" si="1"/>
        <v>488878.46</v>
      </c>
      <c r="J20" s="237"/>
      <c r="K20" s="321">
        <v>4380.2</v>
      </c>
      <c r="L20" s="321">
        <v>252343.32</v>
      </c>
      <c r="M20" s="321"/>
      <c r="N20" s="321">
        <f t="shared" si="2"/>
        <v>0</v>
      </c>
      <c r="O20" s="235">
        <f t="shared" si="3"/>
        <v>4380.2</v>
      </c>
      <c r="P20" s="321">
        <f t="shared" si="4"/>
        <v>252343.32</v>
      </c>
      <c r="Q20" s="235">
        <f t="shared" si="6"/>
        <v>0</v>
      </c>
      <c r="R20" s="322">
        <f t="shared" si="5"/>
        <v>51.62</v>
      </c>
      <c r="S20" s="445"/>
      <c r="T20" s="254"/>
      <c r="U20" s="254"/>
      <c r="V20" s="445"/>
      <c r="W20" s="446"/>
      <c r="X20" s="446"/>
      <c r="Y20" s="447"/>
      <c r="Z20" s="445"/>
      <c r="AA20" s="445"/>
      <c r="AB20" s="445"/>
      <c r="AC20" s="445"/>
      <c r="AD20" s="445"/>
      <c r="AE20" s="445"/>
      <c r="AF20" s="445"/>
      <c r="AG20" s="445"/>
    </row>
    <row r="21" spans="1:33" ht="13.8">
      <c r="A21" s="453">
        <f>1+A20</f>
        <v>6</v>
      </c>
      <c r="B21" s="256" t="s">
        <v>24</v>
      </c>
      <c r="C21" s="214" t="s">
        <v>25</v>
      </c>
      <c r="D21" s="213">
        <v>4.8600000000000003</v>
      </c>
      <c r="E21" s="213">
        <v>40296</v>
      </c>
      <c r="F21" s="230">
        <f t="shared" si="0"/>
        <v>195838.56</v>
      </c>
      <c r="G21" s="324">
        <f>+H21-E21</f>
        <v>35000</v>
      </c>
      <c r="H21" s="325">
        <v>75296</v>
      </c>
      <c r="I21" s="325">
        <f t="shared" si="1"/>
        <v>365938.56</v>
      </c>
      <c r="J21" s="326"/>
      <c r="K21" s="324">
        <v>45120</v>
      </c>
      <c r="L21" s="327">
        <v>219283.20000000001</v>
      </c>
      <c r="M21" s="328"/>
      <c r="N21" s="327">
        <f t="shared" si="2"/>
        <v>0</v>
      </c>
      <c r="O21" s="328">
        <f t="shared" si="3"/>
        <v>45120</v>
      </c>
      <c r="P21" s="327">
        <f t="shared" si="4"/>
        <v>219283.20000000001</v>
      </c>
      <c r="Q21" s="328">
        <f t="shared" si="6"/>
        <v>0</v>
      </c>
      <c r="R21" s="329">
        <f t="shared" si="5"/>
        <v>59.92</v>
      </c>
      <c r="S21" s="445"/>
      <c r="T21" s="254"/>
      <c r="U21" s="254"/>
      <c r="V21" s="454"/>
      <c r="W21" s="446"/>
      <c r="X21" s="446"/>
      <c r="Y21" s="447"/>
      <c r="Z21" s="445"/>
      <c r="AA21" s="445"/>
      <c r="AB21" s="445"/>
      <c r="AC21" s="445"/>
      <c r="AD21" s="445"/>
      <c r="AE21" s="445"/>
      <c r="AF21" s="445"/>
      <c r="AG21" s="445"/>
    </row>
    <row r="22" spans="1:33" ht="13.8">
      <c r="A22" s="441"/>
      <c r="B22" s="255" t="s">
        <v>27</v>
      </c>
      <c r="C22" s="227"/>
      <c r="D22" s="226"/>
      <c r="E22" s="226"/>
      <c r="F22" s="225"/>
      <c r="G22" s="226"/>
      <c r="H22" s="225"/>
      <c r="I22" s="225"/>
      <c r="J22" s="224"/>
      <c r="K22" s="222"/>
      <c r="L22" s="222"/>
      <c r="M22" s="221"/>
      <c r="N22" s="221"/>
      <c r="O22" s="221" t="str">
        <f t="shared" si="3"/>
        <v/>
      </c>
      <c r="P22" s="222"/>
      <c r="Q22" s="221"/>
      <c r="R22" s="220"/>
      <c r="S22" s="445"/>
      <c r="T22" s="254"/>
      <c r="U22" s="254"/>
      <c r="V22" s="183"/>
      <c r="W22" s="445"/>
      <c r="X22" s="445"/>
      <c r="Y22" s="445"/>
      <c r="Z22" s="445"/>
      <c r="AA22" s="445"/>
      <c r="AB22" s="445"/>
      <c r="AC22" s="445"/>
      <c r="AD22" s="445"/>
      <c r="AE22" s="445"/>
      <c r="AF22" s="445"/>
      <c r="AG22" s="445"/>
    </row>
    <row r="23" spans="1:33" ht="12.75" customHeight="1">
      <c r="A23" s="444">
        <v>7</v>
      </c>
      <c r="B23" s="241" t="s">
        <v>28</v>
      </c>
      <c r="C23" s="234" t="s">
        <v>10</v>
      </c>
      <c r="D23" s="233">
        <v>61.39</v>
      </c>
      <c r="E23" s="233">
        <v>23213.09</v>
      </c>
      <c r="F23" s="240">
        <f>D23*E23</f>
        <v>1425051.6</v>
      </c>
      <c r="G23" s="314">
        <f>+H23-E23</f>
        <v>0</v>
      </c>
      <c r="H23" s="315">
        <v>23213.09</v>
      </c>
      <c r="I23" s="315">
        <f>+H23*D23</f>
        <v>1425051.6</v>
      </c>
      <c r="J23" s="330"/>
      <c r="K23" s="318">
        <v>8361.75</v>
      </c>
      <c r="L23" s="318">
        <v>513327.84</v>
      </c>
      <c r="M23" s="317"/>
      <c r="N23" s="317">
        <f t="shared" ref="N23:N25" si="7">ROUND(M23*D23,2)</f>
        <v>0</v>
      </c>
      <c r="O23" s="317">
        <f t="shared" si="3"/>
        <v>8361.75</v>
      </c>
      <c r="P23" s="318">
        <f>L23+N23</f>
        <v>513327.84</v>
      </c>
      <c r="Q23" s="317">
        <f>IF(ISERROR(N23/I23),"",ROUND(N23/I23*100,2))</f>
        <v>0</v>
      </c>
      <c r="R23" s="319">
        <f>IF(ISERROR(P23/I23),"",ROUND(P23/I23*100,2))</f>
        <v>36.020000000000003</v>
      </c>
      <c r="S23" s="445"/>
      <c r="T23" s="254"/>
      <c r="U23" s="254"/>
      <c r="V23" s="445"/>
      <c r="W23" s="445"/>
      <c r="X23" s="445"/>
      <c r="Y23" s="445"/>
      <c r="Z23" s="445"/>
      <c r="AA23" s="445"/>
      <c r="AB23" s="445"/>
      <c r="AC23" s="445"/>
      <c r="AD23" s="445"/>
      <c r="AE23" s="445"/>
      <c r="AF23" s="445"/>
      <c r="AG23" s="445"/>
    </row>
    <row r="24" spans="1:33" ht="13.8">
      <c r="A24" s="448">
        <v>8</v>
      </c>
      <c r="B24" s="219" t="s">
        <v>29</v>
      </c>
      <c r="C24" s="218" t="s">
        <v>10</v>
      </c>
      <c r="D24" s="217">
        <v>18.55</v>
      </c>
      <c r="E24" s="217">
        <v>24098.81</v>
      </c>
      <c r="F24" s="216">
        <f>D24*E24</f>
        <v>447032.93</v>
      </c>
      <c r="G24" s="320">
        <f>+H24-E24</f>
        <v>0</v>
      </c>
      <c r="H24" s="238">
        <v>24098.81</v>
      </c>
      <c r="I24" s="238">
        <f>+H24*D24</f>
        <v>447032.93</v>
      </c>
      <c r="J24" s="237"/>
      <c r="K24" s="321">
        <v>8361.75</v>
      </c>
      <c r="L24" s="321">
        <v>155110.47</v>
      </c>
      <c r="M24" s="235"/>
      <c r="N24" s="235">
        <f t="shared" si="7"/>
        <v>0</v>
      </c>
      <c r="O24" s="235">
        <f t="shared" si="3"/>
        <v>8361.75</v>
      </c>
      <c r="P24" s="321">
        <f>L24+N24</f>
        <v>155110.47</v>
      </c>
      <c r="Q24" s="235">
        <f>IF(ISERROR(N24/I24),"",ROUND(N24/I24*100,2))</f>
        <v>0</v>
      </c>
      <c r="R24" s="322">
        <f>IF(ISERROR(P24/I24),"",ROUND(P24/I24*100,2))</f>
        <v>34.700000000000003</v>
      </c>
      <c r="S24" s="445"/>
      <c r="T24" s="254"/>
      <c r="U24" s="254"/>
      <c r="V24" s="445"/>
      <c r="W24" s="445"/>
      <c r="X24" s="445"/>
      <c r="Y24" s="445"/>
      <c r="Z24" s="445"/>
      <c r="AA24" s="445"/>
      <c r="AB24" s="445"/>
      <c r="AC24" s="445"/>
      <c r="AD24" s="445"/>
      <c r="AE24" s="445"/>
      <c r="AF24" s="445"/>
      <c r="AG24" s="445"/>
    </row>
    <row r="25" spans="1:33" ht="13.8">
      <c r="A25" s="453">
        <v>9</v>
      </c>
      <c r="B25" s="215" t="s">
        <v>30</v>
      </c>
      <c r="C25" s="214" t="s">
        <v>18</v>
      </c>
      <c r="D25" s="213">
        <v>44453.32</v>
      </c>
      <c r="E25" s="213">
        <v>0.4</v>
      </c>
      <c r="F25" s="212">
        <f>D25*E25</f>
        <v>17781.330000000002</v>
      </c>
      <c r="G25" s="324">
        <f>+H25-E25</f>
        <v>0</v>
      </c>
      <c r="H25" s="325">
        <v>0.4</v>
      </c>
      <c r="I25" s="325">
        <f>+H25*D25</f>
        <v>17781.330000000002</v>
      </c>
      <c r="J25" s="326"/>
      <c r="K25" s="327">
        <v>13335.11</v>
      </c>
      <c r="L25" s="327">
        <v>10223.86</v>
      </c>
      <c r="M25" s="327"/>
      <c r="N25" s="328">
        <f t="shared" si="7"/>
        <v>0</v>
      </c>
      <c r="O25" s="327">
        <f t="shared" si="3"/>
        <v>13335.11</v>
      </c>
      <c r="P25" s="327">
        <f>L25+N25</f>
        <v>10223.86</v>
      </c>
      <c r="Q25" s="328">
        <f>IF(ISERROR(N25/I25),"",ROUND(N25/I25*100,2))</f>
        <v>0</v>
      </c>
      <c r="R25" s="329">
        <f>IF(ISERROR(P25/I25),"",ROUND(P25/I25*100,2))</f>
        <v>57.5</v>
      </c>
      <c r="S25" s="445"/>
      <c r="T25" s="254"/>
      <c r="U25" s="254"/>
      <c r="V25" s="445"/>
      <c r="W25" s="445"/>
      <c r="X25" s="445"/>
      <c r="Y25" s="445"/>
      <c r="Z25" s="445"/>
      <c r="AA25" s="445"/>
      <c r="AB25" s="445"/>
      <c r="AC25" s="445"/>
      <c r="AD25" s="445"/>
      <c r="AE25" s="445"/>
      <c r="AF25" s="445"/>
      <c r="AG25" s="445"/>
    </row>
    <row r="26" spans="1:33" ht="13.5" customHeight="1">
      <c r="A26" s="441"/>
      <c r="B26" s="442" t="s">
        <v>31</v>
      </c>
      <c r="C26" s="227"/>
      <c r="D26" s="226"/>
      <c r="E26" s="226"/>
      <c r="F26" s="225"/>
      <c r="G26" s="226"/>
      <c r="H26" s="225"/>
      <c r="I26" s="225"/>
      <c r="J26" s="224"/>
      <c r="K26" s="223"/>
      <c r="L26" s="222"/>
      <c r="M26" s="221"/>
      <c r="N26" s="221"/>
      <c r="O26" s="222" t="str">
        <f t="shared" si="3"/>
        <v/>
      </c>
      <c r="P26" s="222"/>
      <c r="Q26" s="221"/>
      <c r="R26" s="220"/>
      <c r="S26" s="445"/>
      <c r="T26" s="254"/>
      <c r="U26" s="254"/>
      <c r="V26" s="445"/>
      <c r="W26" s="445"/>
      <c r="X26" s="445"/>
      <c r="Y26" s="445"/>
      <c r="Z26" s="445"/>
      <c r="AA26" s="445"/>
      <c r="AB26" s="445"/>
      <c r="AC26" s="445"/>
      <c r="AD26" s="445"/>
      <c r="AE26" s="445"/>
      <c r="AF26" s="445"/>
      <c r="AG26" s="445"/>
    </row>
    <row r="27" spans="1:33" ht="13.8">
      <c r="A27" s="444">
        <v>10</v>
      </c>
      <c r="B27" s="241" t="s">
        <v>32</v>
      </c>
      <c r="C27" s="234" t="s">
        <v>18</v>
      </c>
      <c r="D27" s="233">
        <v>3848.37</v>
      </c>
      <c r="E27" s="233">
        <v>0.2</v>
      </c>
      <c r="F27" s="240">
        <f t="shared" ref="F27:F40" si="8">D27*E27</f>
        <v>769.67</v>
      </c>
      <c r="G27" s="314">
        <f t="shared" ref="G27:G40" si="9">+H27-E27</f>
        <v>0</v>
      </c>
      <c r="H27" s="315">
        <v>0.2</v>
      </c>
      <c r="I27" s="315">
        <f t="shared" ref="I27:I40" si="10">+H27*D27</f>
        <v>769.67</v>
      </c>
      <c r="J27" s="330"/>
      <c r="K27" s="315">
        <v>3848.37</v>
      </c>
      <c r="L27" s="318">
        <v>769.67</v>
      </c>
      <c r="M27" s="317"/>
      <c r="N27" s="317">
        <f t="shared" ref="N27:N40" si="11">ROUND(M27*D27,2)</f>
        <v>0</v>
      </c>
      <c r="O27" s="318">
        <f t="shared" si="3"/>
        <v>3848.37</v>
      </c>
      <c r="P27" s="318">
        <f t="shared" ref="P27:P40" si="12">L27+N27</f>
        <v>769.67</v>
      </c>
      <c r="Q27" s="317">
        <f t="shared" ref="Q27:Q40" si="13">IF(ISERROR(N27/I27),"",ROUND(N27/I27*100,2))</f>
        <v>0</v>
      </c>
      <c r="R27" s="319">
        <f t="shared" ref="R27:R40" si="14">IF(ISERROR(P27/I27),"",ROUND(P27/I27*100,2))</f>
        <v>100</v>
      </c>
      <c r="S27" s="254"/>
      <c r="T27" s="254"/>
      <c r="U27" s="254"/>
      <c r="V27" s="445"/>
      <c r="W27" s="445"/>
      <c r="X27" s="445"/>
      <c r="Y27" s="445"/>
      <c r="Z27" s="445"/>
      <c r="AA27" s="445"/>
      <c r="AB27" s="445"/>
      <c r="AC27" s="445"/>
      <c r="AD27" s="445"/>
      <c r="AE27" s="445"/>
      <c r="AF27" s="445"/>
      <c r="AG27" s="445"/>
    </row>
    <row r="28" spans="1:33" s="452" customFormat="1" ht="13.8">
      <c r="A28" s="448">
        <f t="shared" ref="A28:A40" si="15">1+A27</f>
        <v>11</v>
      </c>
      <c r="B28" s="219" t="s">
        <v>33</v>
      </c>
      <c r="C28" s="218" t="s">
        <v>10</v>
      </c>
      <c r="D28" s="217">
        <v>27.03</v>
      </c>
      <c r="E28" s="217">
        <v>7899.85</v>
      </c>
      <c r="F28" s="216">
        <f t="shared" si="8"/>
        <v>213532.95</v>
      </c>
      <c r="G28" s="320">
        <f t="shared" si="9"/>
        <v>0</v>
      </c>
      <c r="H28" s="238">
        <v>7899.85</v>
      </c>
      <c r="I28" s="238">
        <f t="shared" si="10"/>
        <v>213532.95</v>
      </c>
      <c r="J28" s="237"/>
      <c r="K28" s="238">
        <v>2873</v>
      </c>
      <c r="L28" s="321">
        <v>77657.19</v>
      </c>
      <c r="M28" s="235">
        <v>1513.61</v>
      </c>
      <c r="N28" s="235">
        <f t="shared" si="11"/>
        <v>40912.879999999997</v>
      </c>
      <c r="O28" s="321">
        <f t="shared" si="3"/>
        <v>4386.6099999999997</v>
      </c>
      <c r="P28" s="321">
        <f t="shared" si="12"/>
        <v>118570.07</v>
      </c>
      <c r="Q28" s="235">
        <f t="shared" si="13"/>
        <v>19.16</v>
      </c>
      <c r="R28" s="322">
        <f t="shared" si="14"/>
        <v>55.53</v>
      </c>
      <c r="S28" s="449"/>
      <c r="T28" s="449"/>
      <c r="U28" s="455"/>
      <c r="V28" s="450"/>
    </row>
    <row r="29" spans="1:33" s="452" customFormat="1" ht="15.75" customHeight="1">
      <c r="A29" s="448">
        <f t="shared" si="15"/>
        <v>12</v>
      </c>
      <c r="B29" s="219" t="s">
        <v>34</v>
      </c>
      <c r="C29" s="218" t="s">
        <v>10</v>
      </c>
      <c r="D29" s="217">
        <v>652.63</v>
      </c>
      <c r="E29" s="217">
        <v>1522.75</v>
      </c>
      <c r="F29" s="216">
        <f t="shared" si="8"/>
        <v>993792.33</v>
      </c>
      <c r="G29" s="320">
        <f t="shared" si="9"/>
        <v>3076.2</v>
      </c>
      <c r="H29" s="238">
        <v>4598.95</v>
      </c>
      <c r="I29" s="238">
        <f t="shared" si="10"/>
        <v>3001412.74</v>
      </c>
      <c r="J29" s="237"/>
      <c r="K29" s="238">
        <v>2877.61</v>
      </c>
      <c r="L29" s="456">
        <v>1878014.61</v>
      </c>
      <c r="M29" s="235">
        <v>1149.1500000000001</v>
      </c>
      <c r="N29" s="235">
        <f t="shared" si="11"/>
        <v>749969.76</v>
      </c>
      <c r="O29" s="321">
        <f t="shared" si="3"/>
        <v>4026.76</v>
      </c>
      <c r="P29" s="481">
        <f t="shared" si="12"/>
        <v>2627984.37</v>
      </c>
      <c r="Q29" s="235">
        <f t="shared" si="13"/>
        <v>24.99</v>
      </c>
      <c r="R29" s="322">
        <f t="shared" si="14"/>
        <v>87.56</v>
      </c>
      <c r="S29" s="449"/>
      <c r="T29" s="449"/>
      <c r="U29" s="455"/>
      <c r="V29" s="450"/>
    </row>
    <row r="30" spans="1:33" s="460" customFormat="1" ht="13.8">
      <c r="A30" s="448">
        <f t="shared" si="15"/>
        <v>13</v>
      </c>
      <c r="B30" s="219" t="s">
        <v>35</v>
      </c>
      <c r="C30" s="218" t="s">
        <v>10</v>
      </c>
      <c r="D30" s="217">
        <v>1801.53</v>
      </c>
      <c r="E30" s="217">
        <v>837.96</v>
      </c>
      <c r="F30" s="216">
        <f t="shared" si="8"/>
        <v>1509610.08</v>
      </c>
      <c r="G30" s="320">
        <f t="shared" si="9"/>
        <v>-236.8</v>
      </c>
      <c r="H30" s="238">
        <v>601.16</v>
      </c>
      <c r="I30" s="238">
        <f t="shared" si="10"/>
        <v>1083007.77</v>
      </c>
      <c r="J30" s="237"/>
      <c r="K30" s="238">
        <v>45.08</v>
      </c>
      <c r="L30" s="321">
        <v>81212.97</v>
      </c>
      <c r="M30" s="235">
        <v>123.64</v>
      </c>
      <c r="N30" s="235">
        <f t="shared" si="11"/>
        <v>222741.17</v>
      </c>
      <c r="O30" s="321">
        <f t="shared" si="3"/>
        <v>168.72</v>
      </c>
      <c r="P30" s="321">
        <f t="shared" si="12"/>
        <v>303954.14</v>
      </c>
      <c r="Q30" s="235">
        <f t="shared" si="13"/>
        <v>20.57</v>
      </c>
      <c r="R30" s="322">
        <f t="shared" si="14"/>
        <v>28.07</v>
      </c>
      <c r="S30" s="457"/>
      <c r="T30" s="457"/>
      <c r="U30" s="458"/>
      <c r="V30" s="459"/>
    </row>
    <row r="31" spans="1:33" s="460" customFormat="1" ht="13.8">
      <c r="A31" s="448">
        <f t="shared" si="15"/>
        <v>14</v>
      </c>
      <c r="B31" s="219" t="s">
        <v>36</v>
      </c>
      <c r="C31" s="218" t="s">
        <v>46</v>
      </c>
      <c r="D31" s="217">
        <v>15.35</v>
      </c>
      <c r="E31" s="217">
        <v>108768.82</v>
      </c>
      <c r="F31" s="216">
        <f t="shared" si="8"/>
        <v>1669601.39</v>
      </c>
      <c r="G31" s="320">
        <f t="shared" si="9"/>
        <v>0</v>
      </c>
      <c r="H31" s="238">
        <v>108768.82</v>
      </c>
      <c r="I31" s="238">
        <f t="shared" si="10"/>
        <v>1669601.39</v>
      </c>
      <c r="J31" s="237"/>
      <c r="K31" s="238">
        <v>7515.21</v>
      </c>
      <c r="L31" s="321">
        <v>115358.47</v>
      </c>
      <c r="M31" s="235">
        <v>17384.89</v>
      </c>
      <c r="N31" s="235">
        <f t="shared" si="11"/>
        <v>266858.06</v>
      </c>
      <c r="O31" s="321">
        <f t="shared" si="3"/>
        <v>24900.1</v>
      </c>
      <c r="P31" s="321">
        <f t="shared" si="12"/>
        <v>382216.53</v>
      </c>
      <c r="Q31" s="235">
        <f t="shared" si="13"/>
        <v>15.98</v>
      </c>
      <c r="R31" s="322">
        <f t="shared" si="14"/>
        <v>22.89</v>
      </c>
      <c r="S31" s="457"/>
      <c r="T31" s="457"/>
      <c r="U31" s="458"/>
      <c r="V31" s="459"/>
    </row>
    <row r="32" spans="1:33" s="460" customFormat="1" ht="13.8">
      <c r="A32" s="448">
        <f t="shared" si="15"/>
        <v>15</v>
      </c>
      <c r="B32" s="219" t="s">
        <v>37</v>
      </c>
      <c r="C32" s="218" t="s">
        <v>10</v>
      </c>
      <c r="D32" s="217">
        <v>79.53</v>
      </c>
      <c r="E32" s="217">
        <v>74.010000000000005</v>
      </c>
      <c r="F32" s="216">
        <f t="shared" si="8"/>
        <v>5886.02</v>
      </c>
      <c r="G32" s="320">
        <f t="shared" si="9"/>
        <v>-34.26</v>
      </c>
      <c r="H32" s="238">
        <v>39.75</v>
      </c>
      <c r="I32" s="238">
        <f t="shared" si="10"/>
        <v>3161.32</v>
      </c>
      <c r="J32" s="237"/>
      <c r="K32" s="238">
        <v>14.7</v>
      </c>
      <c r="L32" s="321">
        <v>1169.0999999999999</v>
      </c>
      <c r="M32" s="235">
        <v>3.58</v>
      </c>
      <c r="N32" s="235">
        <f t="shared" si="11"/>
        <v>284.72000000000003</v>
      </c>
      <c r="O32" s="321">
        <f t="shared" si="3"/>
        <v>18.28</v>
      </c>
      <c r="P32" s="321">
        <f t="shared" si="12"/>
        <v>1453.82</v>
      </c>
      <c r="Q32" s="235">
        <f t="shared" si="13"/>
        <v>9.01</v>
      </c>
      <c r="R32" s="322">
        <f t="shared" si="14"/>
        <v>45.99</v>
      </c>
      <c r="S32" s="457"/>
      <c r="T32" s="457"/>
      <c r="U32" s="458"/>
      <c r="V32" s="459"/>
    </row>
    <row r="33" spans="1:22" s="460" customFormat="1" ht="13.8">
      <c r="A33" s="448">
        <f t="shared" si="15"/>
        <v>16</v>
      </c>
      <c r="B33" s="219" t="s">
        <v>38</v>
      </c>
      <c r="C33" s="218" t="s">
        <v>10</v>
      </c>
      <c r="D33" s="217">
        <v>59.3</v>
      </c>
      <c r="E33" s="217">
        <v>30077.59</v>
      </c>
      <c r="F33" s="216">
        <f t="shared" si="8"/>
        <v>1783601.09</v>
      </c>
      <c r="G33" s="320">
        <f t="shared" si="9"/>
        <v>-24444.22</v>
      </c>
      <c r="H33" s="238">
        <v>5633.37</v>
      </c>
      <c r="I33" s="238">
        <f t="shared" si="10"/>
        <v>334058.84000000003</v>
      </c>
      <c r="J33" s="237"/>
      <c r="K33" s="238">
        <v>2952.82</v>
      </c>
      <c r="L33" s="321">
        <v>175102.23</v>
      </c>
      <c r="M33" s="235">
        <v>1202.26</v>
      </c>
      <c r="N33" s="235">
        <f t="shared" si="11"/>
        <v>71294.02</v>
      </c>
      <c r="O33" s="321">
        <f t="shared" si="3"/>
        <v>4155.08</v>
      </c>
      <c r="P33" s="321">
        <f t="shared" si="12"/>
        <v>246396.25</v>
      </c>
      <c r="Q33" s="235">
        <f t="shared" si="13"/>
        <v>21.34</v>
      </c>
      <c r="R33" s="322">
        <f t="shared" si="14"/>
        <v>73.760000000000005</v>
      </c>
      <c r="S33" s="457"/>
      <c r="T33" s="457"/>
      <c r="U33" s="458"/>
      <c r="V33" s="459"/>
    </row>
    <row r="34" spans="1:22" s="460" customFormat="1" ht="13.8">
      <c r="A34" s="448">
        <f t="shared" si="15"/>
        <v>17</v>
      </c>
      <c r="B34" s="219" t="s">
        <v>39</v>
      </c>
      <c r="C34" s="218" t="s">
        <v>25</v>
      </c>
      <c r="D34" s="217">
        <v>213.4</v>
      </c>
      <c r="E34" s="217">
        <v>384.62</v>
      </c>
      <c r="F34" s="216">
        <f t="shared" si="8"/>
        <v>82077.91</v>
      </c>
      <c r="G34" s="320">
        <f t="shared" si="9"/>
        <v>0</v>
      </c>
      <c r="H34" s="238">
        <v>384.62</v>
      </c>
      <c r="I34" s="238">
        <f t="shared" si="10"/>
        <v>82077.91</v>
      </c>
      <c r="J34" s="237"/>
      <c r="K34" s="320">
        <v>0</v>
      </c>
      <c r="L34" s="321">
        <v>0</v>
      </c>
      <c r="M34" s="235">
        <v>267</v>
      </c>
      <c r="N34" s="235">
        <f t="shared" si="11"/>
        <v>56977.8</v>
      </c>
      <c r="O34" s="321">
        <f t="shared" si="3"/>
        <v>267</v>
      </c>
      <c r="P34" s="321">
        <f t="shared" si="12"/>
        <v>56977.8</v>
      </c>
      <c r="Q34" s="235">
        <f t="shared" si="13"/>
        <v>69.42</v>
      </c>
      <c r="R34" s="322">
        <f t="shared" si="14"/>
        <v>69.42</v>
      </c>
      <c r="S34" s="457"/>
      <c r="T34" s="457"/>
      <c r="U34" s="458"/>
      <c r="V34" s="459"/>
    </row>
    <row r="35" spans="1:22" ht="13.8">
      <c r="A35" s="448">
        <f t="shared" si="15"/>
        <v>18</v>
      </c>
      <c r="B35" s="219" t="s">
        <v>40</v>
      </c>
      <c r="C35" s="218" t="s">
        <v>25</v>
      </c>
      <c r="D35" s="217">
        <v>127.61</v>
      </c>
      <c r="E35" s="217">
        <v>795</v>
      </c>
      <c r="F35" s="216">
        <f t="shared" si="8"/>
        <v>101449.95</v>
      </c>
      <c r="G35" s="320">
        <f t="shared" si="9"/>
        <v>0</v>
      </c>
      <c r="H35" s="238">
        <v>795</v>
      </c>
      <c r="I35" s="238">
        <f t="shared" si="10"/>
        <v>101449.95</v>
      </c>
      <c r="J35" s="237"/>
      <c r="K35" s="236">
        <v>0</v>
      </c>
      <c r="L35" s="321">
        <v>0</v>
      </c>
      <c r="M35" s="235"/>
      <c r="N35" s="235">
        <f t="shared" si="11"/>
        <v>0</v>
      </c>
      <c r="O35" s="235"/>
      <c r="P35" s="321">
        <f t="shared" si="12"/>
        <v>0</v>
      </c>
      <c r="Q35" s="235">
        <f t="shared" si="13"/>
        <v>0</v>
      </c>
      <c r="R35" s="322">
        <f t="shared" si="14"/>
        <v>0</v>
      </c>
      <c r="S35" s="461"/>
      <c r="T35" s="254"/>
      <c r="V35" s="445"/>
    </row>
    <row r="36" spans="1:22" ht="13.8">
      <c r="A36" s="448">
        <f t="shared" si="15"/>
        <v>19</v>
      </c>
      <c r="B36" s="219" t="s">
        <v>41</v>
      </c>
      <c r="C36" s="218" t="s">
        <v>10</v>
      </c>
      <c r="D36" s="217">
        <v>474.36</v>
      </c>
      <c r="E36" s="217">
        <v>1717</v>
      </c>
      <c r="F36" s="216">
        <f t="shared" si="8"/>
        <v>814476.12</v>
      </c>
      <c r="G36" s="320">
        <f t="shared" si="9"/>
        <v>-717</v>
      </c>
      <c r="H36" s="238">
        <v>1000</v>
      </c>
      <c r="I36" s="238">
        <f t="shared" si="10"/>
        <v>474360</v>
      </c>
      <c r="J36" s="237"/>
      <c r="K36" s="238">
        <v>497.5</v>
      </c>
      <c r="L36" s="321">
        <v>235994.1</v>
      </c>
      <c r="M36" s="235"/>
      <c r="N36" s="235">
        <f t="shared" si="11"/>
        <v>0</v>
      </c>
      <c r="O36" s="235">
        <f>IF(M36+K36=0,"",M36+K36)</f>
        <v>497.5</v>
      </c>
      <c r="P36" s="321">
        <f t="shared" si="12"/>
        <v>235994.1</v>
      </c>
      <c r="Q36" s="235">
        <f t="shared" si="13"/>
        <v>0</v>
      </c>
      <c r="R36" s="322">
        <f t="shared" si="14"/>
        <v>49.75</v>
      </c>
      <c r="S36" s="461"/>
      <c r="T36" s="254"/>
      <c r="V36" s="445"/>
    </row>
    <row r="37" spans="1:22" s="460" customFormat="1" ht="13.8">
      <c r="A37" s="448">
        <f t="shared" si="15"/>
        <v>20</v>
      </c>
      <c r="B37" s="219" t="s">
        <v>42</v>
      </c>
      <c r="C37" s="218" t="s">
        <v>47</v>
      </c>
      <c r="D37" s="217">
        <v>111.72</v>
      </c>
      <c r="E37" s="217">
        <v>18000</v>
      </c>
      <c r="F37" s="216">
        <f t="shared" si="8"/>
        <v>2010960</v>
      </c>
      <c r="G37" s="320">
        <f t="shared" si="9"/>
        <v>-10989.12</v>
      </c>
      <c r="H37" s="345">
        <v>7010.8841000000002</v>
      </c>
      <c r="I37" s="238">
        <f t="shared" si="10"/>
        <v>783255.97</v>
      </c>
      <c r="J37" s="237"/>
      <c r="K37" s="236">
        <v>0</v>
      </c>
      <c r="L37" s="321">
        <v>0</v>
      </c>
      <c r="M37" s="235">
        <v>130</v>
      </c>
      <c r="N37" s="235">
        <f t="shared" si="11"/>
        <v>14523.6</v>
      </c>
      <c r="O37" s="235">
        <f>IF(M37+K37=0,"",M37+K37)</f>
        <v>130</v>
      </c>
      <c r="P37" s="321">
        <f t="shared" si="12"/>
        <v>14523.6</v>
      </c>
      <c r="Q37" s="235">
        <f t="shared" si="13"/>
        <v>1.85</v>
      </c>
      <c r="R37" s="322">
        <f t="shared" si="14"/>
        <v>1.85</v>
      </c>
      <c r="S37" s="462"/>
      <c r="T37" s="457"/>
      <c r="U37" s="458"/>
      <c r="V37" s="459"/>
    </row>
    <row r="38" spans="1:22" s="460" customFormat="1" ht="13.8">
      <c r="A38" s="448">
        <f t="shared" si="15"/>
        <v>21</v>
      </c>
      <c r="B38" s="219" t="s">
        <v>43</v>
      </c>
      <c r="C38" s="218" t="s">
        <v>47</v>
      </c>
      <c r="D38" s="217">
        <v>1596.02</v>
      </c>
      <c r="E38" s="217">
        <v>343.55</v>
      </c>
      <c r="F38" s="216">
        <f t="shared" si="8"/>
        <v>548312.67000000004</v>
      </c>
      <c r="G38" s="320">
        <f t="shared" si="9"/>
        <v>0</v>
      </c>
      <c r="H38" s="238">
        <v>343.55</v>
      </c>
      <c r="I38" s="238">
        <f t="shared" si="10"/>
        <v>548312.67000000004</v>
      </c>
      <c r="J38" s="237"/>
      <c r="K38" s="236">
        <v>133</v>
      </c>
      <c r="L38" s="321">
        <v>212270.66</v>
      </c>
      <c r="M38" s="235">
        <v>28</v>
      </c>
      <c r="N38" s="235">
        <f t="shared" si="11"/>
        <v>44688.56</v>
      </c>
      <c r="O38" s="235">
        <f>IF(M38+K38=0,"",M38+K38)</f>
        <v>161</v>
      </c>
      <c r="P38" s="321">
        <f t="shared" si="12"/>
        <v>256959.22</v>
      </c>
      <c r="Q38" s="235">
        <f t="shared" si="13"/>
        <v>8.15</v>
      </c>
      <c r="R38" s="322">
        <f t="shared" si="14"/>
        <v>46.86</v>
      </c>
      <c r="S38" s="462"/>
      <c r="T38" s="457"/>
      <c r="U38" s="458"/>
      <c r="V38" s="459"/>
    </row>
    <row r="39" spans="1:22" ht="13.8">
      <c r="A39" s="448">
        <f t="shared" si="15"/>
        <v>22</v>
      </c>
      <c r="B39" s="219" t="s">
        <v>44</v>
      </c>
      <c r="C39" s="218" t="s">
        <v>10</v>
      </c>
      <c r="D39" s="217">
        <v>638.48</v>
      </c>
      <c r="E39" s="217">
        <v>70.819999999999993</v>
      </c>
      <c r="F39" s="216">
        <f t="shared" si="8"/>
        <v>45217.15</v>
      </c>
      <c r="G39" s="320">
        <f t="shared" si="9"/>
        <v>0</v>
      </c>
      <c r="H39" s="238">
        <v>70.819999999999993</v>
      </c>
      <c r="I39" s="238">
        <f t="shared" si="10"/>
        <v>45217.15</v>
      </c>
      <c r="J39" s="237"/>
      <c r="K39" s="236">
        <v>0</v>
      </c>
      <c r="L39" s="321">
        <v>0</v>
      </c>
      <c r="M39" s="235"/>
      <c r="N39" s="235">
        <f t="shared" si="11"/>
        <v>0</v>
      </c>
      <c r="O39" s="235"/>
      <c r="P39" s="321">
        <f t="shared" si="12"/>
        <v>0</v>
      </c>
      <c r="Q39" s="235">
        <f t="shared" si="13"/>
        <v>0</v>
      </c>
      <c r="R39" s="322">
        <f t="shared" si="14"/>
        <v>0</v>
      </c>
      <c r="S39" s="461"/>
      <c r="T39" s="254"/>
      <c r="V39" s="445"/>
    </row>
    <row r="40" spans="1:22" ht="13.8">
      <c r="A40" s="453">
        <f t="shared" si="15"/>
        <v>23</v>
      </c>
      <c r="B40" s="215" t="s">
        <v>45</v>
      </c>
      <c r="C40" s="214" t="s">
        <v>47</v>
      </c>
      <c r="D40" s="213">
        <v>44.35</v>
      </c>
      <c r="E40" s="213">
        <v>2726.08</v>
      </c>
      <c r="F40" s="212">
        <f t="shared" si="8"/>
        <v>120901.65</v>
      </c>
      <c r="G40" s="324">
        <f t="shared" si="9"/>
        <v>0</v>
      </c>
      <c r="H40" s="325">
        <v>2726.08</v>
      </c>
      <c r="I40" s="325">
        <f t="shared" si="10"/>
        <v>120901.65</v>
      </c>
      <c r="J40" s="326"/>
      <c r="K40" s="331">
        <v>0</v>
      </c>
      <c r="L40" s="327">
        <v>0</v>
      </c>
      <c r="M40" s="328"/>
      <c r="N40" s="328">
        <f t="shared" si="11"/>
        <v>0</v>
      </c>
      <c r="O40" s="328"/>
      <c r="P40" s="327">
        <f t="shared" si="12"/>
        <v>0</v>
      </c>
      <c r="Q40" s="328">
        <f t="shared" si="13"/>
        <v>0</v>
      </c>
      <c r="R40" s="329">
        <f t="shared" si="14"/>
        <v>0</v>
      </c>
      <c r="S40" s="461"/>
      <c r="T40" s="254"/>
      <c r="V40" s="445"/>
    </row>
    <row r="41" spans="1:22" ht="13.8">
      <c r="A41" s="441"/>
      <c r="B41" s="442" t="s">
        <v>48</v>
      </c>
      <c r="C41" s="227"/>
      <c r="D41" s="226"/>
      <c r="E41" s="226"/>
      <c r="F41" s="225"/>
      <c r="G41" s="226"/>
      <c r="H41" s="225"/>
      <c r="I41" s="225"/>
      <c r="J41" s="224"/>
      <c r="K41" s="223"/>
      <c r="L41" s="221"/>
      <c r="M41" s="221"/>
      <c r="N41" s="221"/>
      <c r="O41" s="221"/>
      <c r="P41" s="222"/>
      <c r="Q41" s="221"/>
      <c r="R41" s="220"/>
      <c r="S41" s="445"/>
      <c r="T41" s="254"/>
      <c r="V41" s="445"/>
    </row>
    <row r="42" spans="1:22" ht="13.8">
      <c r="A42" s="444">
        <v>24</v>
      </c>
      <c r="B42" s="241" t="s">
        <v>17</v>
      </c>
      <c r="C42" s="234" t="s">
        <v>18</v>
      </c>
      <c r="D42" s="233">
        <v>47860.38</v>
      </c>
      <c r="E42" s="233">
        <v>1</v>
      </c>
      <c r="F42" s="240">
        <f t="shared" ref="F42:F55" si="16">D42*E42</f>
        <v>47860.38</v>
      </c>
      <c r="G42" s="314">
        <f t="shared" ref="G42:G55" si="17">+H42-E42</f>
        <v>0</v>
      </c>
      <c r="H42" s="315">
        <v>1</v>
      </c>
      <c r="I42" s="315">
        <f t="shared" ref="I42:I55" si="18">+H42*D42</f>
        <v>47860.38</v>
      </c>
      <c r="J42" s="330"/>
      <c r="K42" s="315">
        <v>1</v>
      </c>
      <c r="L42" s="318">
        <v>47860.38</v>
      </c>
      <c r="M42" s="317"/>
      <c r="N42" s="317">
        <f t="shared" ref="N42:N55" si="19">ROUND(M42*D42,2)</f>
        <v>0</v>
      </c>
      <c r="O42" s="317">
        <f t="shared" ref="O42:O55" si="20">IF(M42+K42=0,"",M42+K42)</f>
        <v>1</v>
      </c>
      <c r="P42" s="318">
        <f t="shared" ref="P42:P55" si="21">L42+N42</f>
        <v>47860.38</v>
      </c>
      <c r="Q42" s="317">
        <f t="shared" ref="Q42:Q55" si="22">IF(ISERROR(N42/I42),"",ROUND(N42/I42*100,2))</f>
        <v>0</v>
      </c>
      <c r="R42" s="319">
        <f t="shared" ref="R42:R55" si="23">IF(ISERROR(P42/I42),"",ROUND(P42/I42*100,2))</f>
        <v>100</v>
      </c>
      <c r="S42" s="445"/>
      <c r="T42" s="254"/>
    </row>
    <row r="43" spans="1:22" ht="13.8">
      <c r="A43" s="448">
        <f t="shared" ref="A43:A55" si="24">1+A42</f>
        <v>25</v>
      </c>
      <c r="B43" s="219" t="s">
        <v>32</v>
      </c>
      <c r="C43" s="218" t="s">
        <v>18</v>
      </c>
      <c r="D43" s="217">
        <v>3848.37</v>
      </c>
      <c r="E43" s="217">
        <v>1</v>
      </c>
      <c r="F43" s="216">
        <f t="shared" si="16"/>
        <v>3848.37</v>
      </c>
      <c r="G43" s="320">
        <f t="shared" si="17"/>
        <v>0</v>
      </c>
      <c r="H43" s="238">
        <v>1</v>
      </c>
      <c r="I43" s="238">
        <f t="shared" si="18"/>
        <v>3848.37</v>
      </c>
      <c r="J43" s="237"/>
      <c r="K43" s="238">
        <v>1</v>
      </c>
      <c r="L43" s="321">
        <v>3848.37</v>
      </c>
      <c r="M43" s="235"/>
      <c r="N43" s="235">
        <f t="shared" si="19"/>
        <v>0</v>
      </c>
      <c r="O43" s="235">
        <f t="shared" si="20"/>
        <v>1</v>
      </c>
      <c r="P43" s="321">
        <f t="shared" si="21"/>
        <v>3848.37</v>
      </c>
      <c r="Q43" s="235">
        <f t="shared" si="22"/>
        <v>0</v>
      </c>
      <c r="R43" s="322">
        <f t="shared" si="23"/>
        <v>100</v>
      </c>
      <c r="S43" s="445"/>
      <c r="T43" s="254"/>
    </row>
    <row r="44" spans="1:22" s="452" customFormat="1" ht="13.8">
      <c r="A44" s="448">
        <f t="shared" si="24"/>
        <v>26</v>
      </c>
      <c r="B44" s="219" t="s">
        <v>49</v>
      </c>
      <c r="C44" s="218" t="s">
        <v>10</v>
      </c>
      <c r="D44" s="217">
        <v>27.03</v>
      </c>
      <c r="E44" s="217">
        <v>797</v>
      </c>
      <c r="F44" s="216">
        <f t="shared" si="16"/>
        <v>21542.91</v>
      </c>
      <c r="G44" s="320">
        <f t="shared" si="17"/>
        <v>295.10000000000002</v>
      </c>
      <c r="H44" s="238">
        <v>1092.0999999999999</v>
      </c>
      <c r="I44" s="238">
        <f t="shared" si="18"/>
        <v>29519.46</v>
      </c>
      <c r="J44" s="237"/>
      <c r="K44" s="236">
        <v>0</v>
      </c>
      <c r="L44" s="321">
        <v>0</v>
      </c>
      <c r="M44" s="235">
        <v>1005.2</v>
      </c>
      <c r="N44" s="235">
        <f t="shared" si="19"/>
        <v>27170.560000000001</v>
      </c>
      <c r="O44" s="235">
        <f t="shared" si="20"/>
        <v>1005.2</v>
      </c>
      <c r="P44" s="321">
        <f t="shared" si="21"/>
        <v>27170.560000000001</v>
      </c>
      <c r="Q44" s="235">
        <f t="shared" si="22"/>
        <v>92.04</v>
      </c>
      <c r="R44" s="322">
        <f t="shared" si="23"/>
        <v>92.04</v>
      </c>
      <c r="S44" s="450"/>
      <c r="T44" s="449"/>
      <c r="U44" s="455"/>
    </row>
    <row r="45" spans="1:22" s="452" customFormat="1" ht="13.8">
      <c r="A45" s="448">
        <f t="shared" si="24"/>
        <v>27</v>
      </c>
      <c r="B45" s="219" t="s">
        <v>35</v>
      </c>
      <c r="C45" s="218" t="s">
        <v>10</v>
      </c>
      <c r="D45" s="217">
        <v>1801.53</v>
      </c>
      <c r="E45" s="217">
        <v>486.72</v>
      </c>
      <c r="F45" s="216">
        <f t="shared" si="16"/>
        <v>876840.68</v>
      </c>
      <c r="G45" s="320">
        <f t="shared" si="17"/>
        <v>150.13999999999999</v>
      </c>
      <c r="H45" s="238">
        <v>636.86</v>
      </c>
      <c r="I45" s="238">
        <f t="shared" si="18"/>
        <v>1147322.3999999999</v>
      </c>
      <c r="J45" s="237"/>
      <c r="K45" s="236">
        <v>0</v>
      </c>
      <c r="L45" s="321">
        <v>0</v>
      </c>
      <c r="M45" s="235">
        <v>480.13</v>
      </c>
      <c r="N45" s="235">
        <f t="shared" si="19"/>
        <v>864968.6</v>
      </c>
      <c r="O45" s="235">
        <f t="shared" si="20"/>
        <v>480.13</v>
      </c>
      <c r="P45" s="321">
        <f t="shared" si="21"/>
        <v>864968.6</v>
      </c>
      <c r="Q45" s="235">
        <f t="shared" si="22"/>
        <v>75.39</v>
      </c>
      <c r="R45" s="322">
        <f t="shared" si="23"/>
        <v>75.39</v>
      </c>
      <c r="S45" s="450"/>
      <c r="T45" s="449"/>
      <c r="U45" s="455"/>
    </row>
    <row r="46" spans="1:22" s="452" customFormat="1" ht="13.8">
      <c r="A46" s="448">
        <f t="shared" si="24"/>
        <v>28</v>
      </c>
      <c r="B46" s="219" t="s">
        <v>36</v>
      </c>
      <c r="C46" s="218" t="s">
        <v>46</v>
      </c>
      <c r="D46" s="217">
        <v>15.35</v>
      </c>
      <c r="E46" s="217">
        <v>31927.89</v>
      </c>
      <c r="F46" s="216">
        <f t="shared" si="16"/>
        <v>490093.11</v>
      </c>
      <c r="G46" s="320">
        <f t="shared" si="17"/>
        <v>-984.49</v>
      </c>
      <c r="H46" s="238">
        <v>30943.4</v>
      </c>
      <c r="I46" s="238">
        <f t="shared" si="18"/>
        <v>474981.19</v>
      </c>
      <c r="J46" s="237"/>
      <c r="K46" s="238">
        <v>6315.96</v>
      </c>
      <c r="L46" s="321">
        <v>96949.99</v>
      </c>
      <c r="M46" s="235">
        <v>15312</v>
      </c>
      <c r="N46" s="235">
        <f t="shared" si="19"/>
        <v>235039.2</v>
      </c>
      <c r="O46" s="235">
        <f t="shared" si="20"/>
        <v>21627.96</v>
      </c>
      <c r="P46" s="321">
        <f t="shared" si="21"/>
        <v>331989.19</v>
      </c>
      <c r="Q46" s="235">
        <f t="shared" si="22"/>
        <v>49.48</v>
      </c>
      <c r="R46" s="322">
        <f t="shared" si="23"/>
        <v>69.900000000000006</v>
      </c>
      <c r="S46" s="450"/>
      <c r="T46" s="449"/>
      <c r="U46" s="455"/>
    </row>
    <row r="47" spans="1:22" ht="13.8">
      <c r="A47" s="448">
        <f t="shared" si="24"/>
        <v>29</v>
      </c>
      <c r="B47" s="219" t="s">
        <v>50</v>
      </c>
      <c r="C47" s="218" t="s">
        <v>47</v>
      </c>
      <c r="D47" s="217">
        <v>3943.09</v>
      </c>
      <c r="E47" s="217">
        <v>105</v>
      </c>
      <c r="F47" s="216">
        <f t="shared" si="16"/>
        <v>414024.45</v>
      </c>
      <c r="G47" s="320">
        <f t="shared" si="17"/>
        <v>35</v>
      </c>
      <c r="H47" s="238">
        <v>140</v>
      </c>
      <c r="I47" s="238">
        <f t="shared" si="18"/>
        <v>552032.6</v>
      </c>
      <c r="J47" s="237"/>
      <c r="K47" s="238">
        <v>140</v>
      </c>
      <c r="L47" s="321">
        <v>552032.6</v>
      </c>
      <c r="M47" s="235"/>
      <c r="N47" s="235">
        <f t="shared" si="19"/>
        <v>0</v>
      </c>
      <c r="O47" s="235">
        <f t="shared" si="20"/>
        <v>140</v>
      </c>
      <c r="P47" s="321">
        <f t="shared" si="21"/>
        <v>552032.6</v>
      </c>
      <c r="Q47" s="235">
        <f t="shared" si="22"/>
        <v>0</v>
      </c>
      <c r="R47" s="322">
        <f t="shared" si="23"/>
        <v>100</v>
      </c>
      <c r="S47" s="445"/>
      <c r="T47" s="254"/>
    </row>
    <row r="48" spans="1:22" ht="13.8">
      <c r="A48" s="448">
        <f t="shared" si="24"/>
        <v>30</v>
      </c>
      <c r="B48" s="219" t="s">
        <v>51</v>
      </c>
      <c r="C48" s="218" t="s">
        <v>58</v>
      </c>
      <c r="D48" s="217">
        <v>403.4</v>
      </c>
      <c r="E48" s="217">
        <v>48</v>
      </c>
      <c r="F48" s="216">
        <f t="shared" si="16"/>
        <v>19363.2</v>
      </c>
      <c r="G48" s="320">
        <f t="shared" si="17"/>
        <v>16</v>
      </c>
      <c r="H48" s="238">
        <v>64</v>
      </c>
      <c r="I48" s="238">
        <f t="shared" si="18"/>
        <v>25817.599999999999</v>
      </c>
      <c r="J48" s="237"/>
      <c r="K48" s="238">
        <v>0</v>
      </c>
      <c r="L48" s="321">
        <v>0</v>
      </c>
      <c r="M48" s="235"/>
      <c r="N48" s="235">
        <f t="shared" si="19"/>
        <v>0</v>
      </c>
      <c r="O48" s="235" t="str">
        <f t="shared" si="20"/>
        <v/>
      </c>
      <c r="P48" s="321">
        <f t="shared" si="21"/>
        <v>0</v>
      </c>
      <c r="Q48" s="235">
        <f t="shared" si="22"/>
        <v>0</v>
      </c>
      <c r="R48" s="322">
        <f t="shared" si="23"/>
        <v>0</v>
      </c>
      <c r="S48" s="445"/>
      <c r="T48" s="254"/>
    </row>
    <row r="49" spans="1:21" ht="13.8">
      <c r="A49" s="448">
        <f t="shared" si="24"/>
        <v>31</v>
      </c>
      <c r="B49" s="219" t="s">
        <v>52</v>
      </c>
      <c r="C49" s="218" t="s">
        <v>18</v>
      </c>
      <c r="D49" s="217">
        <v>45986.77</v>
      </c>
      <c r="E49" s="217">
        <v>0.65</v>
      </c>
      <c r="F49" s="216">
        <f t="shared" si="16"/>
        <v>29891.4</v>
      </c>
      <c r="G49" s="320">
        <f t="shared" si="17"/>
        <v>0.22</v>
      </c>
      <c r="H49" s="238">
        <v>0.87</v>
      </c>
      <c r="I49" s="238">
        <f t="shared" si="18"/>
        <v>40008.49</v>
      </c>
      <c r="J49" s="237"/>
      <c r="K49" s="238">
        <v>0</v>
      </c>
      <c r="L49" s="321">
        <v>0</v>
      </c>
      <c r="M49" s="235"/>
      <c r="N49" s="235">
        <f t="shared" si="19"/>
        <v>0</v>
      </c>
      <c r="O49" s="235" t="str">
        <f t="shared" si="20"/>
        <v/>
      </c>
      <c r="P49" s="321">
        <f t="shared" si="21"/>
        <v>0</v>
      </c>
      <c r="Q49" s="235">
        <f t="shared" si="22"/>
        <v>0</v>
      </c>
      <c r="R49" s="322">
        <f t="shared" si="23"/>
        <v>0</v>
      </c>
      <c r="S49" s="445"/>
      <c r="T49" s="254"/>
    </row>
    <row r="50" spans="1:21" ht="13.8">
      <c r="A50" s="448">
        <f t="shared" si="24"/>
        <v>32</v>
      </c>
      <c r="B50" s="219" t="s">
        <v>53</v>
      </c>
      <c r="C50" s="218" t="s">
        <v>47</v>
      </c>
      <c r="D50" s="217">
        <v>825.66</v>
      </c>
      <c r="E50" s="217">
        <v>18.2</v>
      </c>
      <c r="F50" s="216">
        <f t="shared" si="16"/>
        <v>15027.01</v>
      </c>
      <c r="G50" s="320">
        <f t="shared" si="17"/>
        <v>0</v>
      </c>
      <c r="H50" s="238">
        <v>18.2</v>
      </c>
      <c r="I50" s="238">
        <f t="shared" si="18"/>
        <v>15027.01</v>
      </c>
      <c r="J50" s="237"/>
      <c r="K50" s="238">
        <v>0</v>
      </c>
      <c r="L50" s="321">
        <v>0</v>
      </c>
      <c r="M50" s="235"/>
      <c r="N50" s="235">
        <f t="shared" si="19"/>
        <v>0</v>
      </c>
      <c r="O50" s="235" t="str">
        <f t="shared" si="20"/>
        <v/>
      </c>
      <c r="P50" s="321">
        <f t="shared" si="21"/>
        <v>0</v>
      </c>
      <c r="Q50" s="235">
        <f t="shared" si="22"/>
        <v>0</v>
      </c>
      <c r="R50" s="322">
        <f t="shared" si="23"/>
        <v>0</v>
      </c>
      <c r="S50" s="445"/>
      <c r="T50" s="254"/>
    </row>
    <row r="51" spans="1:21" ht="13.8">
      <c r="A51" s="448">
        <f t="shared" si="24"/>
        <v>33</v>
      </c>
      <c r="B51" s="219" t="s">
        <v>54</v>
      </c>
      <c r="C51" s="218" t="s">
        <v>47</v>
      </c>
      <c r="D51" s="217">
        <v>83.48</v>
      </c>
      <c r="E51" s="217">
        <v>47.3</v>
      </c>
      <c r="F51" s="216">
        <f t="shared" si="16"/>
        <v>3948.6</v>
      </c>
      <c r="G51" s="320">
        <f t="shared" si="17"/>
        <v>0</v>
      </c>
      <c r="H51" s="238">
        <v>47.3</v>
      </c>
      <c r="I51" s="238">
        <f t="shared" si="18"/>
        <v>3948.6</v>
      </c>
      <c r="J51" s="237"/>
      <c r="K51" s="238">
        <v>0</v>
      </c>
      <c r="L51" s="321">
        <v>0</v>
      </c>
      <c r="M51" s="235"/>
      <c r="N51" s="235">
        <f t="shared" si="19"/>
        <v>0</v>
      </c>
      <c r="O51" s="235" t="str">
        <f t="shared" si="20"/>
        <v/>
      </c>
      <c r="P51" s="321">
        <f t="shared" si="21"/>
        <v>0</v>
      </c>
      <c r="Q51" s="235">
        <f t="shared" si="22"/>
        <v>0</v>
      </c>
      <c r="R51" s="322">
        <f t="shared" si="23"/>
        <v>0</v>
      </c>
      <c r="S51" s="445"/>
      <c r="T51" s="254"/>
    </row>
    <row r="52" spans="1:21" ht="13.8">
      <c r="A52" s="448">
        <f t="shared" si="24"/>
        <v>34</v>
      </c>
      <c r="B52" s="219" t="s">
        <v>55</v>
      </c>
      <c r="C52" s="218" t="s">
        <v>10</v>
      </c>
      <c r="D52" s="217">
        <v>150.47999999999999</v>
      </c>
      <c r="E52" s="217">
        <v>106.76</v>
      </c>
      <c r="F52" s="216">
        <f t="shared" si="16"/>
        <v>16065.24</v>
      </c>
      <c r="G52" s="320">
        <f t="shared" si="17"/>
        <v>34.57</v>
      </c>
      <c r="H52" s="238">
        <v>141.33000000000001</v>
      </c>
      <c r="I52" s="238">
        <f t="shared" si="18"/>
        <v>21267.34</v>
      </c>
      <c r="J52" s="237"/>
      <c r="K52" s="238">
        <v>141.33000000000001</v>
      </c>
      <c r="L52" s="321">
        <v>21267.34</v>
      </c>
      <c r="M52" s="235"/>
      <c r="N52" s="235">
        <f t="shared" si="19"/>
        <v>0</v>
      </c>
      <c r="O52" s="235">
        <f t="shared" si="20"/>
        <v>141.33000000000001</v>
      </c>
      <c r="P52" s="321">
        <f t="shared" si="21"/>
        <v>21267.34</v>
      </c>
      <c r="Q52" s="235">
        <f t="shared" si="22"/>
        <v>0</v>
      </c>
      <c r="R52" s="322">
        <f t="shared" si="23"/>
        <v>100</v>
      </c>
      <c r="S52" s="445"/>
      <c r="T52" s="254"/>
    </row>
    <row r="53" spans="1:21" s="452" customFormat="1" ht="13.8">
      <c r="A53" s="448">
        <f t="shared" si="24"/>
        <v>35</v>
      </c>
      <c r="B53" s="219" t="s">
        <v>44</v>
      </c>
      <c r="C53" s="218" t="s">
        <v>10</v>
      </c>
      <c r="D53" s="217">
        <v>638.48</v>
      </c>
      <c r="E53" s="217">
        <v>20.6</v>
      </c>
      <c r="F53" s="216">
        <f t="shared" si="16"/>
        <v>13152.69</v>
      </c>
      <c r="G53" s="320">
        <f t="shared" si="17"/>
        <v>2.64</v>
      </c>
      <c r="H53" s="238">
        <v>23.24</v>
      </c>
      <c r="I53" s="238">
        <f t="shared" si="18"/>
        <v>14838.28</v>
      </c>
      <c r="J53" s="237"/>
      <c r="K53" s="238">
        <v>0</v>
      </c>
      <c r="L53" s="321">
        <v>0</v>
      </c>
      <c r="M53" s="235">
        <v>23.24</v>
      </c>
      <c r="N53" s="235">
        <f t="shared" si="19"/>
        <v>14838.28</v>
      </c>
      <c r="O53" s="235">
        <f t="shared" si="20"/>
        <v>23.24</v>
      </c>
      <c r="P53" s="321">
        <f t="shared" si="21"/>
        <v>14838.28</v>
      </c>
      <c r="Q53" s="235">
        <f t="shared" si="22"/>
        <v>100</v>
      </c>
      <c r="R53" s="322">
        <f t="shared" si="23"/>
        <v>100</v>
      </c>
      <c r="S53" s="450"/>
      <c r="T53" s="449"/>
      <c r="U53" s="455"/>
    </row>
    <row r="54" spans="1:21" ht="13.8">
      <c r="A54" s="448">
        <f t="shared" si="24"/>
        <v>36</v>
      </c>
      <c r="B54" s="219" t="s">
        <v>56</v>
      </c>
      <c r="C54" s="218" t="s">
        <v>10</v>
      </c>
      <c r="D54" s="217">
        <v>573.79</v>
      </c>
      <c r="E54" s="217">
        <v>476</v>
      </c>
      <c r="F54" s="216">
        <f t="shared" si="16"/>
        <v>273124.03999999998</v>
      </c>
      <c r="G54" s="320">
        <f t="shared" si="17"/>
        <v>-476</v>
      </c>
      <c r="H54" s="238">
        <v>0</v>
      </c>
      <c r="I54" s="238">
        <f t="shared" si="18"/>
        <v>0</v>
      </c>
      <c r="J54" s="237"/>
      <c r="K54" s="238">
        <v>0</v>
      </c>
      <c r="L54" s="321">
        <v>0</v>
      </c>
      <c r="M54" s="235"/>
      <c r="N54" s="235">
        <f t="shared" si="19"/>
        <v>0</v>
      </c>
      <c r="O54" s="235" t="str">
        <f t="shared" si="20"/>
        <v/>
      </c>
      <c r="P54" s="321">
        <f t="shared" si="21"/>
        <v>0</v>
      </c>
      <c r="Q54" s="235" t="str">
        <f t="shared" si="22"/>
        <v/>
      </c>
      <c r="R54" s="322" t="str">
        <f t="shared" si="23"/>
        <v/>
      </c>
      <c r="S54" s="445"/>
      <c r="T54" s="254"/>
    </row>
    <row r="55" spans="1:21" ht="13.8">
      <c r="A55" s="453">
        <f t="shared" si="24"/>
        <v>37</v>
      </c>
      <c r="B55" s="215" t="s">
        <v>57</v>
      </c>
      <c r="C55" s="214" t="s">
        <v>18</v>
      </c>
      <c r="D55" s="213">
        <v>4553.8599999999997</v>
      </c>
      <c r="E55" s="213">
        <v>1</v>
      </c>
      <c r="F55" s="243">
        <f t="shared" si="16"/>
        <v>4553.8599999999997</v>
      </c>
      <c r="G55" s="324">
        <f t="shared" si="17"/>
        <v>0</v>
      </c>
      <c r="H55" s="325">
        <v>1</v>
      </c>
      <c r="I55" s="325">
        <f t="shared" si="18"/>
        <v>4553.8599999999997</v>
      </c>
      <c r="J55" s="326"/>
      <c r="K55" s="325">
        <v>0</v>
      </c>
      <c r="L55" s="327">
        <v>0</v>
      </c>
      <c r="M55" s="328"/>
      <c r="N55" s="328">
        <f t="shared" si="19"/>
        <v>0</v>
      </c>
      <c r="O55" s="328" t="str">
        <f t="shared" si="20"/>
        <v/>
      </c>
      <c r="P55" s="327">
        <f t="shared" si="21"/>
        <v>0</v>
      </c>
      <c r="Q55" s="328">
        <f t="shared" si="22"/>
        <v>0</v>
      </c>
      <c r="R55" s="329">
        <f t="shared" si="23"/>
        <v>0</v>
      </c>
      <c r="S55" s="445"/>
      <c r="T55" s="254"/>
    </row>
    <row r="56" spans="1:21" ht="13.8">
      <c r="A56" s="441"/>
      <c r="B56" s="442" t="s">
        <v>59</v>
      </c>
      <c r="C56" s="227"/>
      <c r="D56" s="242"/>
      <c r="E56" s="242"/>
      <c r="F56" s="225"/>
      <c r="G56" s="226"/>
      <c r="H56" s="225"/>
      <c r="I56" s="225"/>
      <c r="J56" s="224"/>
      <c r="K56" s="223"/>
      <c r="L56" s="221"/>
      <c r="M56" s="221"/>
      <c r="N56" s="221"/>
      <c r="O56" s="221"/>
      <c r="P56" s="222"/>
      <c r="Q56" s="221"/>
      <c r="R56" s="220"/>
      <c r="S56" s="445"/>
      <c r="T56" s="254"/>
    </row>
    <row r="57" spans="1:21" ht="13.8">
      <c r="A57" s="444">
        <v>38</v>
      </c>
      <c r="B57" s="241" t="s">
        <v>17</v>
      </c>
      <c r="C57" s="234" t="s">
        <v>18</v>
      </c>
      <c r="D57" s="233">
        <v>47860.38</v>
      </c>
      <c r="E57" s="233">
        <v>1</v>
      </c>
      <c r="F57" s="240">
        <f t="shared" ref="F57:F68" si="25">D57*E57</f>
        <v>47860.38</v>
      </c>
      <c r="G57" s="314">
        <f t="shared" ref="G57:G68" si="26">+H57-E57</f>
        <v>0</v>
      </c>
      <c r="H57" s="315">
        <v>1</v>
      </c>
      <c r="I57" s="315">
        <f t="shared" ref="I57:I68" si="27">+H57*D57</f>
        <v>47860.38</v>
      </c>
      <c r="J57" s="330"/>
      <c r="K57" s="315">
        <v>1</v>
      </c>
      <c r="L57" s="318">
        <v>47860.38</v>
      </c>
      <c r="M57" s="317"/>
      <c r="N57" s="317">
        <f t="shared" ref="N57:N68" si="28">ROUND(M57*D57,2)</f>
        <v>0</v>
      </c>
      <c r="O57" s="317">
        <f>IF(M57+K57=0,"",M57+K57)</f>
        <v>1</v>
      </c>
      <c r="P57" s="318">
        <f t="shared" ref="P57:P68" si="29">L57+N57</f>
        <v>47860.38</v>
      </c>
      <c r="Q57" s="317">
        <f t="shared" ref="Q57:Q68" si="30">IF(ISERROR(N57/I57),"",ROUND(N57/I57*100,2))</f>
        <v>0</v>
      </c>
      <c r="R57" s="319">
        <f t="shared" ref="R57:R68" si="31">IF(ISERROR(P57/I57),"",ROUND(P57/I57*100,2))</f>
        <v>100</v>
      </c>
      <c r="S57" s="445"/>
      <c r="T57" s="254"/>
    </row>
    <row r="58" spans="1:21" ht="13.8">
      <c r="A58" s="448">
        <f t="shared" ref="A58:A68" si="32">A57+1</f>
        <v>39</v>
      </c>
      <c r="B58" s="219" t="s">
        <v>32</v>
      </c>
      <c r="C58" s="218" t="s">
        <v>18</v>
      </c>
      <c r="D58" s="217">
        <v>3848.37</v>
      </c>
      <c r="E58" s="217">
        <v>1</v>
      </c>
      <c r="F58" s="216">
        <f t="shared" si="25"/>
        <v>3848.37</v>
      </c>
      <c r="G58" s="320">
        <f t="shared" si="26"/>
        <v>0</v>
      </c>
      <c r="H58" s="238">
        <v>1</v>
      </c>
      <c r="I58" s="238">
        <f t="shared" si="27"/>
        <v>3848.37</v>
      </c>
      <c r="J58" s="238"/>
      <c r="K58" s="238">
        <v>1</v>
      </c>
      <c r="L58" s="321">
        <v>3848.37</v>
      </c>
      <c r="M58" s="235"/>
      <c r="N58" s="235">
        <f t="shared" si="28"/>
        <v>0</v>
      </c>
      <c r="O58" s="235">
        <f>IF(M58+K58=0,"",M58+K58)</f>
        <v>1</v>
      </c>
      <c r="P58" s="321">
        <f t="shared" si="29"/>
        <v>3848.37</v>
      </c>
      <c r="Q58" s="235">
        <f t="shared" si="30"/>
        <v>0</v>
      </c>
      <c r="R58" s="322">
        <f t="shared" si="31"/>
        <v>100</v>
      </c>
      <c r="S58" s="445"/>
      <c r="T58" s="254"/>
    </row>
    <row r="59" spans="1:21" ht="13.8">
      <c r="A59" s="448">
        <f t="shared" si="32"/>
        <v>40</v>
      </c>
      <c r="B59" s="219" t="s">
        <v>33</v>
      </c>
      <c r="C59" s="218" t="s">
        <v>10</v>
      </c>
      <c r="D59" s="217">
        <v>27.03</v>
      </c>
      <c r="E59" s="217">
        <v>421.23</v>
      </c>
      <c r="F59" s="216">
        <f t="shared" si="25"/>
        <v>11385.85</v>
      </c>
      <c r="G59" s="320">
        <f t="shared" si="26"/>
        <v>0</v>
      </c>
      <c r="H59" s="238">
        <v>421.23</v>
      </c>
      <c r="I59" s="238">
        <f t="shared" si="27"/>
        <v>11385.85</v>
      </c>
      <c r="J59" s="238"/>
      <c r="K59" s="238">
        <v>0</v>
      </c>
      <c r="L59" s="321">
        <v>0</v>
      </c>
      <c r="M59" s="235"/>
      <c r="N59" s="235">
        <f t="shared" si="28"/>
        <v>0</v>
      </c>
      <c r="O59" s="235" t="str">
        <f>IF(M59+K59=0,"",M59+K59)</f>
        <v/>
      </c>
      <c r="P59" s="321">
        <f t="shared" si="29"/>
        <v>0</v>
      </c>
      <c r="Q59" s="235">
        <f t="shared" si="30"/>
        <v>0</v>
      </c>
      <c r="R59" s="322">
        <f t="shared" si="31"/>
        <v>0</v>
      </c>
      <c r="S59" s="445"/>
      <c r="T59" s="254"/>
    </row>
    <row r="60" spans="1:21" ht="13.8">
      <c r="A60" s="448">
        <f t="shared" si="32"/>
        <v>41</v>
      </c>
      <c r="B60" s="219" t="s">
        <v>60</v>
      </c>
      <c r="C60" s="218" t="s">
        <v>10</v>
      </c>
      <c r="D60" s="217">
        <v>651.46</v>
      </c>
      <c r="E60" s="217">
        <v>379.8</v>
      </c>
      <c r="F60" s="216">
        <f t="shared" si="25"/>
        <v>247424.51</v>
      </c>
      <c r="G60" s="320">
        <f t="shared" si="26"/>
        <v>0</v>
      </c>
      <c r="H60" s="238">
        <v>379.8</v>
      </c>
      <c r="I60" s="238">
        <f t="shared" si="27"/>
        <v>247424.51</v>
      </c>
      <c r="J60" s="238"/>
      <c r="K60" s="238">
        <v>0</v>
      </c>
      <c r="L60" s="321">
        <v>0</v>
      </c>
      <c r="M60" s="235"/>
      <c r="N60" s="235">
        <f t="shared" si="28"/>
        <v>0</v>
      </c>
      <c r="O60" s="235"/>
      <c r="P60" s="321">
        <f t="shared" si="29"/>
        <v>0</v>
      </c>
      <c r="Q60" s="235">
        <f t="shared" si="30"/>
        <v>0</v>
      </c>
      <c r="R60" s="322">
        <f t="shared" si="31"/>
        <v>0</v>
      </c>
      <c r="S60" s="445"/>
      <c r="T60" s="254"/>
    </row>
    <row r="61" spans="1:21" ht="13.8">
      <c r="A61" s="448">
        <f t="shared" si="32"/>
        <v>42</v>
      </c>
      <c r="B61" s="3" t="s">
        <v>35</v>
      </c>
      <c r="C61" s="10" t="s">
        <v>10</v>
      </c>
      <c r="D61" s="11">
        <v>1801.53</v>
      </c>
      <c r="E61" s="12">
        <v>95.41</v>
      </c>
      <c r="F61" s="216">
        <f t="shared" si="25"/>
        <v>171883.98</v>
      </c>
      <c r="G61" s="320">
        <f t="shared" si="26"/>
        <v>0</v>
      </c>
      <c r="H61" s="238">
        <v>95.41</v>
      </c>
      <c r="I61" s="238">
        <f t="shared" si="27"/>
        <v>171883.98</v>
      </c>
      <c r="J61" s="238"/>
      <c r="K61" s="238">
        <v>0</v>
      </c>
      <c r="L61" s="321">
        <v>0</v>
      </c>
      <c r="M61" s="235"/>
      <c r="N61" s="235">
        <f t="shared" si="28"/>
        <v>0</v>
      </c>
      <c r="O61" s="235"/>
      <c r="P61" s="321">
        <f t="shared" si="29"/>
        <v>0</v>
      </c>
      <c r="Q61" s="235">
        <f t="shared" si="30"/>
        <v>0</v>
      </c>
      <c r="R61" s="322">
        <f t="shared" si="31"/>
        <v>0</v>
      </c>
      <c r="S61" s="445"/>
      <c r="T61" s="254"/>
    </row>
    <row r="62" spans="1:21" ht="13.8">
      <c r="A62" s="448">
        <f t="shared" si="32"/>
        <v>43</v>
      </c>
      <c r="B62" s="219" t="s">
        <v>36</v>
      </c>
      <c r="C62" s="218" t="s">
        <v>46</v>
      </c>
      <c r="D62" s="217">
        <v>15.35</v>
      </c>
      <c r="E62" s="217">
        <v>7046.94</v>
      </c>
      <c r="F62" s="216">
        <f t="shared" si="25"/>
        <v>108170.53</v>
      </c>
      <c r="G62" s="320">
        <f t="shared" si="26"/>
        <v>0</v>
      </c>
      <c r="H62" s="238">
        <v>7046.94</v>
      </c>
      <c r="I62" s="238">
        <f t="shared" si="27"/>
        <v>108170.53</v>
      </c>
      <c r="J62" s="238"/>
      <c r="K62" s="238">
        <v>0</v>
      </c>
      <c r="L62" s="321">
        <v>0</v>
      </c>
      <c r="M62" s="235"/>
      <c r="N62" s="235">
        <f t="shared" si="28"/>
        <v>0</v>
      </c>
      <c r="O62" s="235"/>
      <c r="P62" s="321">
        <f t="shared" si="29"/>
        <v>0</v>
      </c>
      <c r="Q62" s="235">
        <f t="shared" si="30"/>
        <v>0</v>
      </c>
      <c r="R62" s="322">
        <f t="shared" si="31"/>
        <v>0</v>
      </c>
      <c r="S62" s="445"/>
      <c r="T62" s="254"/>
    </row>
    <row r="63" spans="1:21" ht="13.8">
      <c r="A63" s="448">
        <f t="shared" si="32"/>
        <v>44</v>
      </c>
      <c r="B63" s="219" t="s">
        <v>50</v>
      </c>
      <c r="C63" s="218" t="s">
        <v>47</v>
      </c>
      <c r="D63" s="217">
        <v>3139.57</v>
      </c>
      <c r="E63" s="217">
        <v>61.8</v>
      </c>
      <c r="F63" s="216">
        <f t="shared" si="25"/>
        <v>194025.43</v>
      </c>
      <c r="G63" s="320">
        <f t="shared" si="26"/>
        <v>0</v>
      </c>
      <c r="H63" s="238">
        <v>61.8</v>
      </c>
      <c r="I63" s="238">
        <f t="shared" si="27"/>
        <v>194025.43</v>
      </c>
      <c r="J63" s="238"/>
      <c r="K63" s="238">
        <v>0</v>
      </c>
      <c r="L63" s="321">
        <v>0</v>
      </c>
      <c r="M63" s="235"/>
      <c r="N63" s="235">
        <f t="shared" si="28"/>
        <v>0</v>
      </c>
      <c r="O63" s="235"/>
      <c r="P63" s="321">
        <f t="shared" si="29"/>
        <v>0</v>
      </c>
      <c r="Q63" s="235">
        <f t="shared" si="30"/>
        <v>0</v>
      </c>
      <c r="R63" s="322">
        <f t="shared" si="31"/>
        <v>0</v>
      </c>
      <c r="S63" s="445"/>
      <c r="T63" s="254"/>
    </row>
    <row r="64" spans="1:21" ht="13.8">
      <c r="A64" s="448">
        <f t="shared" si="32"/>
        <v>45</v>
      </c>
      <c r="B64" s="219" t="s">
        <v>51</v>
      </c>
      <c r="C64" s="218" t="s">
        <v>58</v>
      </c>
      <c r="D64" s="217">
        <v>403.4</v>
      </c>
      <c r="E64" s="217">
        <v>26.25</v>
      </c>
      <c r="F64" s="216">
        <f t="shared" si="25"/>
        <v>10589.25</v>
      </c>
      <c r="G64" s="320">
        <f t="shared" si="26"/>
        <v>0</v>
      </c>
      <c r="H64" s="238">
        <v>26.25</v>
      </c>
      <c r="I64" s="238">
        <f t="shared" si="27"/>
        <v>10589.25</v>
      </c>
      <c r="J64" s="238"/>
      <c r="K64" s="238">
        <v>0</v>
      </c>
      <c r="L64" s="321">
        <v>0</v>
      </c>
      <c r="M64" s="235"/>
      <c r="N64" s="235">
        <f t="shared" si="28"/>
        <v>0</v>
      </c>
      <c r="O64" s="235"/>
      <c r="P64" s="321">
        <f t="shared" si="29"/>
        <v>0</v>
      </c>
      <c r="Q64" s="235">
        <f t="shared" si="30"/>
        <v>0</v>
      </c>
      <c r="R64" s="322">
        <f t="shared" si="31"/>
        <v>0</v>
      </c>
      <c r="S64" s="445"/>
      <c r="T64" s="254"/>
    </row>
    <row r="65" spans="1:20" ht="13.8">
      <c r="A65" s="448">
        <f t="shared" si="32"/>
        <v>46</v>
      </c>
      <c r="B65" s="219" t="s">
        <v>52</v>
      </c>
      <c r="C65" s="218" t="s">
        <v>18</v>
      </c>
      <c r="D65" s="217">
        <v>45986.77</v>
      </c>
      <c r="E65" s="217">
        <v>1</v>
      </c>
      <c r="F65" s="216">
        <f t="shared" si="25"/>
        <v>45986.77</v>
      </c>
      <c r="G65" s="320">
        <f t="shared" si="26"/>
        <v>0</v>
      </c>
      <c r="H65" s="238">
        <v>1</v>
      </c>
      <c r="I65" s="238">
        <f t="shared" si="27"/>
        <v>45986.77</v>
      </c>
      <c r="J65" s="238"/>
      <c r="K65" s="238">
        <v>0</v>
      </c>
      <c r="L65" s="321">
        <v>0</v>
      </c>
      <c r="M65" s="235"/>
      <c r="N65" s="235">
        <f t="shared" si="28"/>
        <v>0</v>
      </c>
      <c r="O65" s="235"/>
      <c r="P65" s="321">
        <f t="shared" si="29"/>
        <v>0</v>
      </c>
      <c r="Q65" s="235">
        <f t="shared" si="30"/>
        <v>0</v>
      </c>
      <c r="R65" s="322">
        <f t="shared" si="31"/>
        <v>0</v>
      </c>
      <c r="S65" s="445"/>
      <c r="T65" s="254"/>
    </row>
    <row r="66" spans="1:20" ht="13.8">
      <c r="A66" s="448">
        <f t="shared" si="32"/>
        <v>47</v>
      </c>
      <c r="B66" s="219" t="s">
        <v>53</v>
      </c>
      <c r="C66" s="218" t="s">
        <v>47</v>
      </c>
      <c r="D66" s="217">
        <v>825.66</v>
      </c>
      <c r="E66" s="217">
        <v>14.6</v>
      </c>
      <c r="F66" s="216">
        <f t="shared" si="25"/>
        <v>12054.64</v>
      </c>
      <c r="G66" s="320">
        <f t="shared" si="26"/>
        <v>0</v>
      </c>
      <c r="H66" s="238">
        <v>14.6</v>
      </c>
      <c r="I66" s="238">
        <f t="shared" si="27"/>
        <v>12054.64</v>
      </c>
      <c r="J66" s="238"/>
      <c r="K66" s="238">
        <v>0</v>
      </c>
      <c r="L66" s="321">
        <v>0</v>
      </c>
      <c r="M66" s="235"/>
      <c r="N66" s="235">
        <f t="shared" si="28"/>
        <v>0</v>
      </c>
      <c r="O66" s="235"/>
      <c r="P66" s="321">
        <f t="shared" si="29"/>
        <v>0</v>
      </c>
      <c r="Q66" s="235">
        <f t="shared" si="30"/>
        <v>0</v>
      </c>
      <c r="R66" s="322">
        <f t="shared" si="31"/>
        <v>0</v>
      </c>
      <c r="S66" s="445"/>
      <c r="T66" s="254"/>
    </row>
    <row r="67" spans="1:20" ht="13.8">
      <c r="A67" s="448">
        <f t="shared" si="32"/>
        <v>48</v>
      </c>
      <c r="B67" s="219" t="s">
        <v>54</v>
      </c>
      <c r="C67" s="218" t="s">
        <v>47</v>
      </c>
      <c r="D67" s="217">
        <v>83.48</v>
      </c>
      <c r="E67" s="217">
        <v>38.799999999999997</v>
      </c>
      <c r="F67" s="216">
        <f t="shared" si="25"/>
        <v>3239.02</v>
      </c>
      <c r="G67" s="320">
        <f t="shared" si="26"/>
        <v>0</v>
      </c>
      <c r="H67" s="238">
        <v>38.799999999999997</v>
      </c>
      <c r="I67" s="238">
        <f t="shared" si="27"/>
        <v>3239.02</v>
      </c>
      <c r="J67" s="238"/>
      <c r="K67" s="238">
        <v>0</v>
      </c>
      <c r="L67" s="321">
        <v>0</v>
      </c>
      <c r="M67" s="235"/>
      <c r="N67" s="235">
        <f t="shared" si="28"/>
        <v>0</v>
      </c>
      <c r="O67" s="235"/>
      <c r="P67" s="321">
        <f t="shared" si="29"/>
        <v>0</v>
      </c>
      <c r="Q67" s="235">
        <f t="shared" si="30"/>
        <v>0</v>
      </c>
      <c r="R67" s="322">
        <f t="shared" si="31"/>
        <v>0</v>
      </c>
      <c r="S67" s="445"/>
      <c r="T67" s="254"/>
    </row>
    <row r="68" spans="1:20" ht="13.8">
      <c r="A68" s="453">
        <f t="shared" si="32"/>
        <v>49</v>
      </c>
      <c r="B68" s="215" t="s">
        <v>57</v>
      </c>
      <c r="C68" s="214" t="s">
        <v>18</v>
      </c>
      <c r="D68" s="213">
        <v>4553.8599999999997</v>
      </c>
      <c r="E68" s="213">
        <v>1</v>
      </c>
      <c r="F68" s="212">
        <f t="shared" si="25"/>
        <v>4553.8599999999997</v>
      </c>
      <c r="G68" s="324">
        <f t="shared" si="26"/>
        <v>0</v>
      </c>
      <c r="H68" s="325">
        <v>1</v>
      </c>
      <c r="I68" s="325">
        <f t="shared" si="27"/>
        <v>4553.8599999999997</v>
      </c>
      <c r="J68" s="326"/>
      <c r="K68" s="331">
        <v>0</v>
      </c>
      <c r="L68" s="327">
        <v>0</v>
      </c>
      <c r="M68" s="328"/>
      <c r="N68" s="328">
        <f t="shared" si="28"/>
        <v>0</v>
      </c>
      <c r="O68" s="328"/>
      <c r="P68" s="327">
        <f t="shared" si="29"/>
        <v>0</v>
      </c>
      <c r="Q68" s="328">
        <f t="shared" si="30"/>
        <v>0</v>
      </c>
      <c r="R68" s="329">
        <f t="shared" si="31"/>
        <v>0</v>
      </c>
      <c r="S68" s="445"/>
      <c r="T68" s="254"/>
    </row>
    <row r="69" spans="1:20" ht="13.8">
      <c r="A69" s="441"/>
      <c r="B69" s="442" t="s">
        <v>61</v>
      </c>
      <c r="C69" s="227"/>
      <c r="D69" s="226"/>
      <c r="E69" s="226"/>
      <c r="F69" s="225"/>
      <c r="G69" s="226"/>
      <c r="H69" s="225"/>
      <c r="I69" s="225"/>
      <c r="J69" s="224"/>
      <c r="K69" s="223"/>
      <c r="L69" s="221"/>
      <c r="M69" s="221"/>
      <c r="N69" s="221"/>
      <c r="O69" s="221"/>
      <c r="P69" s="222"/>
      <c r="Q69" s="221"/>
      <c r="R69" s="220"/>
      <c r="S69" s="445"/>
      <c r="T69" s="254"/>
    </row>
    <row r="70" spans="1:20" ht="13.8">
      <c r="A70" s="444">
        <v>50</v>
      </c>
      <c r="B70" s="7" t="s">
        <v>62</v>
      </c>
      <c r="C70" s="234" t="s">
        <v>67</v>
      </c>
      <c r="D70" s="233">
        <v>1145.2</v>
      </c>
      <c r="E70" s="233">
        <v>15</v>
      </c>
      <c r="F70" s="232">
        <f>D70*E70</f>
        <v>17178</v>
      </c>
      <c r="G70" s="314">
        <f>+H70-E70</f>
        <v>0</v>
      </c>
      <c r="H70" s="315">
        <v>15</v>
      </c>
      <c r="I70" s="315">
        <f>+H70*D70</f>
        <v>17178</v>
      </c>
      <c r="J70" s="330"/>
      <c r="K70" s="332">
        <v>0</v>
      </c>
      <c r="L70" s="318">
        <v>0</v>
      </c>
      <c r="M70" s="317"/>
      <c r="N70" s="317">
        <f t="shared" ref="N70:N74" si="33">ROUND(M70*D70,2)</f>
        <v>0</v>
      </c>
      <c r="O70" s="317"/>
      <c r="P70" s="318">
        <f>L70+N70</f>
        <v>0</v>
      </c>
      <c r="Q70" s="317">
        <f>IF(ISERROR(N70/I70),"",ROUND(N70/I70*100,2))</f>
        <v>0</v>
      </c>
      <c r="R70" s="319">
        <f>IF(ISERROR(P70/I70),"",ROUND(P70/I70*100,2))</f>
        <v>0</v>
      </c>
      <c r="S70" s="445"/>
      <c r="T70" s="254"/>
    </row>
    <row r="71" spans="1:20" ht="13.8">
      <c r="A71" s="448">
        <f>1+A70</f>
        <v>51</v>
      </c>
      <c r="B71" s="8" t="s">
        <v>63</v>
      </c>
      <c r="C71" s="218" t="s">
        <v>67</v>
      </c>
      <c r="D71" s="217">
        <v>977.64</v>
      </c>
      <c r="E71" s="217">
        <v>33</v>
      </c>
      <c r="F71" s="231">
        <f>D71*E71</f>
        <v>32262.12</v>
      </c>
      <c r="G71" s="320">
        <f>+H71-E71</f>
        <v>0</v>
      </c>
      <c r="H71" s="238">
        <v>33</v>
      </c>
      <c r="I71" s="238">
        <f>+H71*D71</f>
        <v>32262.12</v>
      </c>
      <c r="J71" s="237"/>
      <c r="K71" s="236">
        <v>0</v>
      </c>
      <c r="L71" s="321">
        <v>0</v>
      </c>
      <c r="M71" s="235"/>
      <c r="N71" s="235">
        <f t="shared" si="33"/>
        <v>0</v>
      </c>
      <c r="O71" s="235"/>
      <c r="P71" s="321">
        <f>L71+N71</f>
        <v>0</v>
      </c>
      <c r="Q71" s="235">
        <f>IF(ISERROR(N71/I71),"",ROUND(N71/I71*100,2))</f>
        <v>0</v>
      </c>
      <c r="R71" s="322">
        <f>IF(ISERROR(P71/I71),"",ROUND(P71/I71*100,2))</f>
        <v>0</v>
      </c>
      <c r="S71" s="445"/>
      <c r="T71" s="254"/>
    </row>
    <row r="72" spans="1:20" ht="13.8">
      <c r="A72" s="448">
        <f>1+A71</f>
        <v>52</v>
      </c>
      <c r="B72" s="8" t="s">
        <v>64</v>
      </c>
      <c r="C72" s="218" t="s">
        <v>67</v>
      </c>
      <c r="D72" s="217">
        <v>1497.96</v>
      </c>
      <c r="E72" s="217">
        <v>1</v>
      </c>
      <c r="F72" s="231">
        <f>D72*E72</f>
        <v>1497.96</v>
      </c>
      <c r="G72" s="320">
        <f>+H72-E72</f>
        <v>0</v>
      </c>
      <c r="H72" s="238">
        <v>1</v>
      </c>
      <c r="I72" s="238">
        <f>+H72*D72</f>
        <v>1497.96</v>
      </c>
      <c r="J72" s="237"/>
      <c r="K72" s="236">
        <v>0</v>
      </c>
      <c r="L72" s="321">
        <v>0</v>
      </c>
      <c r="M72" s="235"/>
      <c r="N72" s="235">
        <f t="shared" si="33"/>
        <v>0</v>
      </c>
      <c r="O72" s="235"/>
      <c r="P72" s="321">
        <f>L72+N72</f>
        <v>0</v>
      </c>
      <c r="Q72" s="235">
        <f>IF(ISERROR(N72/I72),"",ROUND(N72/I72*100,2))</f>
        <v>0</v>
      </c>
      <c r="R72" s="322">
        <f>IF(ISERROR(P72/I72),"",ROUND(P72/I72*100,2))</f>
        <v>0</v>
      </c>
      <c r="S72" s="445"/>
      <c r="T72" s="254"/>
    </row>
    <row r="73" spans="1:20" ht="13.8">
      <c r="A73" s="448">
        <f>1+A72</f>
        <v>53</v>
      </c>
      <c r="B73" s="8" t="s">
        <v>65</v>
      </c>
      <c r="C73" s="218" t="s">
        <v>67</v>
      </c>
      <c r="D73" s="217">
        <v>276.64</v>
      </c>
      <c r="E73" s="217">
        <v>26</v>
      </c>
      <c r="F73" s="231">
        <f>D73*E73</f>
        <v>7192.64</v>
      </c>
      <c r="G73" s="320">
        <f>+H73-E73</f>
        <v>0</v>
      </c>
      <c r="H73" s="238">
        <v>26</v>
      </c>
      <c r="I73" s="238">
        <f>+H73*D73</f>
        <v>7192.64</v>
      </c>
      <c r="J73" s="237"/>
      <c r="K73" s="236">
        <v>0</v>
      </c>
      <c r="L73" s="321">
        <v>0</v>
      </c>
      <c r="M73" s="235"/>
      <c r="N73" s="235">
        <f t="shared" si="33"/>
        <v>0</v>
      </c>
      <c r="O73" s="235"/>
      <c r="P73" s="321">
        <f>L73+N73</f>
        <v>0</v>
      </c>
      <c r="Q73" s="235">
        <f>IF(ISERROR(N73/I73),"",ROUND(N73/I73*100,2))</f>
        <v>0</v>
      </c>
      <c r="R73" s="322">
        <f>IF(ISERROR(P73/I73),"",ROUND(P73/I73*100,2))</f>
        <v>0</v>
      </c>
      <c r="S73" s="445"/>
      <c r="T73" s="254"/>
    </row>
    <row r="74" spans="1:20" ht="13.8">
      <c r="A74" s="453">
        <f>1+A73</f>
        <v>54</v>
      </c>
      <c r="B74" s="9" t="s">
        <v>66</v>
      </c>
      <c r="C74" s="214" t="s">
        <v>67</v>
      </c>
      <c r="D74" s="213">
        <v>235.45</v>
      </c>
      <c r="E74" s="213">
        <v>98</v>
      </c>
      <c r="F74" s="230">
        <f>D74*E74</f>
        <v>23074.1</v>
      </c>
      <c r="G74" s="324">
        <f>+H74-E74</f>
        <v>0</v>
      </c>
      <c r="H74" s="325">
        <v>98</v>
      </c>
      <c r="I74" s="325">
        <f>+H74*D74</f>
        <v>23074.1</v>
      </c>
      <c r="J74" s="326"/>
      <c r="K74" s="331">
        <v>0</v>
      </c>
      <c r="L74" s="327">
        <v>0</v>
      </c>
      <c r="M74" s="328"/>
      <c r="N74" s="328">
        <f t="shared" si="33"/>
        <v>0</v>
      </c>
      <c r="O74" s="328"/>
      <c r="P74" s="327">
        <f>L74+N74</f>
        <v>0</v>
      </c>
      <c r="Q74" s="328">
        <f>IF(ISERROR(N74/I74),"",ROUND(N74/I74*100,2))</f>
        <v>0</v>
      </c>
      <c r="R74" s="329">
        <f>IF(ISERROR(P74/I74),"",ROUND(P74/I74*100,2))</f>
        <v>0</v>
      </c>
      <c r="S74" s="445"/>
      <c r="T74" s="254"/>
    </row>
    <row r="75" spans="1:20" ht="13.8">
      <c r="A75" s="441"/>
      <c r="B75" s="442" t="s">
        <v>68</v>
      </c>
      <c r="C75" s="227"/>
      <c r="D75" s="226"/>
      <c r="E75" s="226"/>
      <c r="F75" s="225"/>
      <c r="G75" s="226"/>
      <c r="H75" s="225"/>
      <c r="I75" s="225"/>
      <c r="J75" s="224"/>
      <c r="K75" s="223"/>
      <c r="L75" s="221"/>
      <c r="M75" s="221"/>
      <c r="N75" s="221"/>
      <c r="O75" s="221"/>
      <c r="P75" s="222"/>
      <c r="Q75" s="221"/>
      <c r="R75" s="220"/>
      <c r="S75" s="445"/>
      <c r="T75" s="254"/>
    </row>
    <row r="76" spans="1:20" ht="13.8">
      <c r="A76" s="444">
        <v>65</v>
      </c>
      <c r="B76" s="241" t="s">
        <v>69</v>
      </c>
      <c r="C76" s="234" t="s">
        <v>75</v>
      </c>
      <c r="D76" s="233">
        <v>412.06</v>
      </c>
      <c r="E76" s="233">
        <v>10</v>
      </c>
      <c r="F76" s="240">
        <f t="shared" ref="F76:F81" si="34">D76*E76</f>
        <v>4120.6000000000004</v>
      </c>
      <c r="G76" s="314">
        <f t="shared" ref="G76:G81" si="35">+H76-E76</f>
        <v>0</v>
      </c>
      <c r="H76" s="315">
        <v>10</v>
      </c>
      <c r="I76" s="315">
        <f t="shared" ref="I76:I81" si="36">+H76*D76</f>
        <v>4120.6000000000004</v>
      </c>
      <c r="J76" s="330"/>
      <c r="K76" s="332">
        <v>0</v>
      </c>
      <c r="L76" s="317">
        <v>0</v>
      </c>
      <c r="M76" s="317"/>
      <c r="N76" s="317">
        <f t="shared" ref="N76:N81" si="37">ROUND(M76*D76,2)</f>
        <v>0</v>
      </c>
      <c r="O76" s="317"/>
      <c r="P76" s="318">
        <f t="shared" ref="P76:P81" si="38">L76+N76</f>
        <v>0</v>
      </c>
      <c r="Q76" s="317">
        <f t="shared" ref="Q76:Q81" si="39">IF(ISERROR(N76/I76),"",ROUND(N76/I76*100,2))</f>
        <v>0</v>
      </c>
      <c r="R76" s="319">
        <f t="shared" ref="R76:R81" si="40">IF(ISERROR(P76/I76),"",ROUND(P76/I76*100,2))</f>
        <v>0</v>
      </c>
      <c r="S76" s="445"/>
      <c r="T76" s="254"/>
    </row>
    <row r="77" spans="1:20" ht="13.8">
      <c r="A77" s="448">
        <v>69</v>
      </c>
      <c r="B77" s="219" t="s">
        <v>70</v>
      </c>
      <c r="C77" s="218" t="s">
        <v>10</v>
      </c>
      <c r="D77" s="217">
        <v>337.66</v>
      </c>
      <c r="E77" s="217">
        <v>460.72</v>
      </c>
      <c r="F77" s="216">
        <f t="shared" si="34"/>
        <v>155566.72</v>
      </c>
      <c r="G77" s="320">
        <f t="shared" si="35"/>
        <v>189.38</v>
      </c>
      <c r="H77" s="238">
        <v>650.1</v>
      </c>
      <c r="I77" s="238">
        <f t="shared" si="36"/>
        <v>219512.77</v>
      </c>
      <c r="J77" s="237"/>
      <c r="K77" s="238">
        <v>460.72</v>
      </c>
      <c r="L77" s="321">
        <v>155566.72</v>
      </c>
      <c r="M77" s="235"/>
      <c r="N77" s="235">
        <f t="shared" si="37"/>
        <v>0</v>
      </c>
      <c r="O77" s="235">
        <f>IF(M77+K77=0,"",M77+K77)</f>
        <v>460.72</v>
      </c>
      <c r="P77" s="321">
        <f t="shared" si="38"/>
        <v>155566.72</v>
      </c>
      <c r="Q77" s="235">
        <f t="shared" si="39"/>
        <v>0</v>
      </c>
      <c r="R77" s="322">
        <f t="shared" si="40"/>
        <v>70.87</v>
      </c>
      <c r="S77" s="445"/>
      <c r="T77" s="254"/>
    </row>
    <row r="78" spans="1:20" ht="13.8">
      <c r="A78" s="448">
        <f>1+A77</f>
        <v>70</v>
      </c>
      <c r="B78" s="219" t="s">
        <v>71</v>
      </c>
      <c r="C78" s="218" t="s">
        <v>18</v>
      </c>
      <c r="D78" s="217">
        <v>11160.89</v>
      </c>
      <c r="E78" s="217">
        <v>0.2</v>
      </c>
      <c r="F78" s="216">
        <f t="shared" si="34"/>
        <v>2232.1799999999998</v>
      </c>
      <c r="G78" s="320">
        <f t="shared" si="35"/>
        <v>0</v>
      </c>
      <c r="H78" s="238">
        <v>0.2</v>
      </c>
      <c r="I78" s="238">
        <f t="shared" si="36"/>
        <v>2232.1799999999998</v>
      </c>
      <c r="J78" s="237"/>
      <c r="K78" s="236">
        <v>0</v>
      </c>
      <c r="L78" s="235">
        <v>0</v>
      </c>
      <c r="M78" s="235"/>
      <c r="N78" s="235">
        <f t="shared" si="37"/>
        <v>0</v>
      </c>
      <c r="O78" s="235"/>
      <c r="P78" s="321">
        <f t="shared" si="38"/>
        <v>0</v>
      </c>
      <c r="Q78" s="235">
        <f t="shared" si="39"/>
        <v>0</v>
      </c>
      <c r="R78" s="322">
        <f t="shared" si="40"/>
        <v>0</v>
      </c>
      <c r="S78" s="445"/>
      <c r="T78" s="254"/>
    </row>
    <row r="79" spans="1:20" ht="13.8">
      <c r="A79" s="448">
        <f>1+A78</f>
        <v>71</v>
      </c>
      <c r="B79" s="219" t="s">
        <v>72</v>
      </c>
      <c r="C79" s="218" t="s">
        <v>25</v>
      </c>
      <c r="D79" s="217">
        <v>3424.36</v>
      </c>
      <c r="E79" s="217">
        <v>5.57</v>
      </c>
      <c r="F79" s="216">
        <f t="shared" si="34"/>
        <v>19073.689999999999</v>
      </c>
      <c r="G79" s="320">
        <f t="shared" si="35"/>
        <v>0</v>
      </c>
      <c r="H79" s="238">
        <v>5.57</v>
      </c>
      <c r="I79" s="238">
        <f t="shared" si="36"/>
        <v>19073.689999999999</v>
      </c>
      <c r="J79" s="237"/>
      <c r="K79" s="236">
        <v>0</v>
      </c>
      <c r="L79" s="235">
        <v>0</v>
      </c>
      <c r="M79" s="235"/>
      <c r="N79" s="235">
        <f t="shared" si="37"/>
        <v>0</v>
      </c>
      <c r="O79" s="235"/>
      <c r="P79" s="321">
        <f t="shared" si="38"/>
        <v>0</v>
      </c>
      <c r="Q79" s="235">
        <f t="shared" si="39"/>
        <v>0</v>
      </c>
      <c r="R79" s="322">
        <f t="shared" si="40"/>
        <v>0</v>
      </c>
      <c r="S79" s="445"/>
      <c r="T79" s="254"/>
    </row>
    <row r="80" spans="1:20" ht="13.8">
      <c r="A80" s="448">
        <f>1+A79</f>
        <v>72</v>
      </c>
      <c r="B80" s="219" t="s">
        <v>73</v>
      </c>
      <c r="C80" s="218" t="s">
        <v>25</v>
      </c>
      <c r="D80" s="217">
        <v>5452.74</v>
      </c>
      <c r="E80" s="217">
        <v>4.78</v>
      </c>
      <c r="F80" s="216">
        <f t="shared" si="34"/>
        <v>26064.1</v>
      </c>
      <c r="G80" s="320">
        <f t="shared" si="35"/>
        <v>0</v>
      </c>
      <c r="H80" s="238">
        <v>4.78</v>
      </c>
      <c r="I80" s="238">
        <f t="shared" si="36"/>
        <v>26064.1</v>
      </c>
      <c r="J80" s="237"/>
      <c r="K80" s="236">
        <v>0</v>
      </c>
      <c r="L80" s="235">
        <v>0</v>
      </c>
      <c r="M80" s="235"/>
      <c r="N80" s="235">
        <f t="shared" si="37"/>
        <v>0</v>
      </c>
      <c r="O80" s="235"/>
      <c r="P80" s="321">
        <f t="shared" si="38"/>
        <v>0</v>
      </c>
      <c r="Q80" s="235">
        <f t="shared" si="39"/>
        <v>0</v>
      </c>
      <c r="R80" s="322">
        <f t="shared" si="40"/>
        <v>0</v>
      </c>
      <c r="S80" s="445"/>
      <c r="T80" s="254"/>
    </row>
    <row r="81" spans="1:21" ht="13.8">
      <c r="A81" s="453">
        <v>74</v>
      </c>
      <c r="B81" s="215" t="s">
        <v>74</v>
      </c>
      <c r="C81" s="214" t="s">
        <v>18</v>
      </c>
      <c r="D81" s="213">
        <v>6376.18</v>
      </c>
      <c r="E81" s="213">
        <v>0.4</v>
      </c>
      <c r="F81" s="212">
        <f t="shared" si="34"/>
        <v>2550.4699999999998</v>
      </c>
      <c r="G81" s="324">
        <f t="shared" si="35"/>
        <v>0</v>
      </c>
      <c r="H81" s="325">
        <v>0.4</v>
      </c>
      <c r="I81" s="325">
        <f t="shared" si="36"/>
        <v>2550.4699999999998</v>
      </c>
      <c r="J81" s="326"/>
      <c r="K81" s="328">
        <v>0</v>
      </c>
      <c r="L81" s="328">
        <v>0</v>
      </c>
      <c r="M81" s="328"/>
      <c r="N81" s="328">
        <f t="shared" si="37"/>
        <v>0</v>
      </c>
      <c r="O81" s="328"/>
      <c r="P81" s="327">
        <f t="shared" si="38"/>
        <v>0</v>
      </c>
      <c r="Q81" s="328">
        <f t="shared" si="39"/>
        <v>0</v>
      </c>
      <c r="R81" s="329">
        <f t="shared" si="40"/>
        <v>0</v>
      </c>
      <c r="S81" s="445"/>
      <c r="T81" s="254"/>
    </row>
    <row r="82" spans="1:21" ht="13.8">
      <c r="A82" s="463"/>
      <c r="B82" s="259"/>
      <c r="C82" s="227"/>
      <c r="D82" s="226"/>
      <c r="E82" s="334"/>
      <c r="F82" s="225"/>
      <c r="G82" s="226"/>
      <c r="H82" s="225"/>
      <c r="I82" s="225"/>
      <c r="J82" s="226"/>
      <c r="K82" s="221"/>
      <c r="L82" s="221"/>
      <c r="M82" s="221"/>
      <c r="N82" s="221"/>
      <c r="O82" s="221"/>
      <c r="P82" s="222"/>
      <c r="Q82" s="221"/>
      <c r="R82" s="335" t="str">
        <f t="shared" ref="R82" si="41">IF(ISERROR(P82/I82),"",ROUND(P82/I82*100,2))</f>
        <v/>
      </c>
    </row>
    <row r="83" spans="1:21">
      <c r="A83" s="771" t="s">
        <v>16</v>
      </c>
      <c r="B83" s="772"/>
      <c r="C83" s="772"/>
      <c r="D83" s="772"/>
      <c r="E83" s="204"/>
      <c r="F83" s="211">
        <f>SUM(F16:F81)</f>
        <v>16903840.539999999</v>
      </c>
      <c r="G83" s="204"/>
      <c r="H83" s="210"/>
      <c r="I83" s="209">
        <f>SUM(I16:I81)</f>
        <v>16903840.539999999</v>
      </c>
      <c r="J83" s="204"/>
      <c r="K83" s="204"/>
      <c r="L83" s="204">
        <f>ROUND(SUM(L16:L82),2)</f>
        <v>6266687.5</v>
      </c>
      <c r="M83" s="204"/>
      <c r="N83" s="204">
        <f>SUM(N16:N82)</f>
        <v>3205525.45</v>
      </c>
      <c r="O83" s="204" t="str">
        <f>IF(M83+K83=0,"",M83+K83)</f>
        <v/>
      </c>
      <c r="P83" s="204">
        <f>ROUND(SUM(P16:P82),2)</f>
        <v>9472212.9499999993</v>
      </c>
      <c r="Q83" s="208">
        <f>+N83/I83*100</f>
        <v>18.96</v>
      </c>
      <c r="R83" s="208"/>
      <c r="S83" s="464"/>
      <c r="T83" s="465"/>
      <c r="U83" s="254"/>
    </row>
    <row r="84" spans="1:21">
      <c r="A84" s="346"/>
      <c r="B84" s="346"/>
      <c r="C84" s="346"/>
      <c r="D84" s="346"/>
      <c r="E84" s="346"/>
      <c r="F84" s="466"/>
      <c r="G84" s="346"/>
      <c r="H84" s="346"/>
      <c r="I84" s="467"/>
      <c r="J84" s="346"/>
      <c r="K84" s="468"/>
      <c r="L84" s="192"/>
      <c r="M84" s="468"/>
      <c r="N84" s="196"/>
      <c r="O84" s="468"/>
      <c r="P84" s="192"/>
      <c r="Q84" s="346"/>
      <c r="R84" s="469"/>
    </row>
    <row r="85" spans="1:21">
      <c r="A85" s="346"/>
      <c r="B85" s="346"/>
      <c r="C85" s="346"/>
      <c r="D85" s="346"/>
      <c r="E85" s="346"/>
      <c r="F85" s="346"/>
      <c r="G85" s="346"/>
      <c r="H85" s="346"/>
      <c r="I85" s="467"/>
      <c r="J85" s="346"/>
      <c r="K85" s="468"/>
      <c r="L85" s="192"/>
      <c r="M85" s="468"/>
      <c r="N85" s="196"/>
      <c r="O85" s="468"/>
      <c r="P85" s="192"/>
      <c r="Q85" s="470"/>
      <c r="R85" s="346"/>
    </row>
    <row r="86" spans="1:21">
      <c r="A86" s="346"/>
      <c r="B86" s="346"/>
      <c r="C86" s="346"/>
      <c r="D86" s="346"/>
      <c r="E86" s="346"/>
      <c r="F86" s="471"/>
      <c r="G86" s="346"/>
      <c r="H86" s="346"/>
      <c r="I86" s="346"/>
      <c r="J86" s="346"/>
      <c r="K86" s="468"/>
      <c r="L86" s="192"/>
      <c r="M86" s="468"/>
      <c r="N86" s="199"/>
      <c r="O86" s="198"/>
      <c r="P86" s="197"/>
      <c r="Q86" s="346"/>
      <c r="R86" s="346"/>
    </row>
    <row r="87" spans="1:21">
      <c r="A87" s="346"/>
      <c r="B87" s="346"/>
      <c r="C87" s="346"/>
      <c r="D87" s="346"/>
      <c r="E87" s="346"/>
      <c r="F87" s="454"/>
      <c r="G87" s="346"/>
      <c r="H87" s="346"/>
      <c r="I87" s="346"/>
      <c r="J87" s="346"/>
      <c r="K87" s="468"/>
      <c r="L87" s="192"/>
      <c r="M87" s="468"/>
      <c r="N87" s="196"/>
      <c r="O87" s="468"/>
      <c r="P87" s="192"/>
      <c r="Q87" s="346"/>
      <c r="R87" s="346"/>
    </row>
    <row r="88" spans="1:21">
      <c r="A88" s="346"/>
      <c r="B88" s="346"/>
      <c r="C88" s="346"/>
      <c r="D88" s="346"/>
      <c r="E88" s="346"/>
      <c r="F88" s="346"/>
      <c r="G88" s="467"/>
      <c r="H88" s="346"/>
      <c r="I88" s="346"/>
      <c r="J88" s="346"/>
      <c r="K88" s="468"/>
      <c r="L88" s="472"/>
      <c r="M88" s="468"/>
      <c r="N88" s="472"/>
      <c r="O88" s="468"/>
      <c r="P88" s="472"/>
      <c r="Q88" s="473"/>
      <c r="R88" s="468"/>
    </row>
    <row r="89" spans="1:21">
      <c r="A89" s="346"/>
      <c r="B89" s="346"/>
      <c r="C89" s="346"/>
      <c r="D89" s="346"/>
      <c r="E89" s="346"/>
      <c r="F89" s="346"/>
      <c r="G89" s="467"/>
      <c r="H89" s="346"/>
      <c r="I89" s="346"/>
      <c r="J89" s="346"/>
      <c r="K89" s="468"/>
      <c r="L89" s="472"/>
      <c r="M89" s="468"/>
      <c r="N89" s="472"/>
      <c r="O89" s="468"/>
      <c r="P89" s="472"/>
      <c r="Q89" s="473"/>
      <c r="R89" s="468"/>
    </row>
    <row r="90" spans="1:21">
      <c r="A90" s="346"/>
      <c r="B90" s="346"/>
      <c r="C90" s="346"/>
      <c r="D90" s="346"/>
      <c r="E90" s="346"/>
      <c r="F90" s="346"/>
      <c r="G90" s="467"/>
      <c r="H90" s="346"/>
      <c r="I90" s="346"/>
      <c r="J90" s="346"/>
      <c r="K90" s="468"/>
      <c r="L90" s="472"/>
      <c r="M90" s="468"/>
      <c r="N90" s="472"/>
      <c r="O90" s="468"/>
      <c r="P90" s="472"/>
      <c r="Q90" s="473"/>
      <c r="R90" s="468"/>
    </row>
    <row r="91" spans="1:21">
      <c r="A91" s="346"/>
      <c r="B91" s="346"/>
      <c r="C91" s="346"/>
      <c r="D91" s="346"/>
      <c r="E91" s="346"/>
      <c r="F91" s="346"/>
      <c r="G91" s="467"/>
      <c r="H91" s="346"/>
      <c r="I91" s="346"/>
      <c r="J91" s="346"/>
      <c r="K91" s="468"/>
      <c r="L91" s="472"/>
      <c r="M91" s="468"/>
      <c r="N91" s="472"/>
      <c r="O91" s="468"/>
      <c r="P91" s="472"/>
      <c r="Q91" s="473"/>
      <c r="R91" s="468"/>
    </row>
    <row r="92" spans="1:21">
      <c r="A92" s="346"/>
      <c r="B92" s="346"/>
      <c r="C92" s="346"/>
      <c r="D92" s="346"/>
      <c r="E92" s="346"/>
      <c r="F92" s="346"/>
      <c r="G92" s="467"/>
      <c r="H92" s="346"/>
      <c r="I92" s="346"/>
      <c r="J92" s="346"/>
      <c r="K92" s="468"/>
      <c r="L92" s="472"/>
      <c r="M92" s="468"/>
      <c r="N92" s="472"/>
      <c r="O92" s="468"/>
      <c r="P92" s="472"/>
      <c r="Q92" s="473"/>
      <c r="R92" s="468"/>
    </row>
    <row r="93" spans="1:21">
      <c r="A93" s="346"/>
      <c r="B93" s="346"/>
      <c r="C93" s="346"/>
      <c r="D93" s="346"/>
      <c r="E93" s="346"/>
      <c r="F93" s="346"/>
      <c r="G93" s="467"/>
      <c r="H93" s="346"/>
      <c r="I93" s="346"/>
      <c r="J93" s="346"/>
      <c r="K93" s="468"/>
      <c r="L93" s="472"/>
      <c r="M93" s="468"/>
      <c r="N93" s="472"/>
      <c r="O93" s="468"/>
      <c r="P93" s="472"/>
      <c r="Q93" s="473"/>
      <c r="R93" s="468"/>
    </row>
    <row r="94" spans="1:21">
      <c r="A94" s="346"/>
      <c r="B94" s="346"/>
      <c r="C94" s="346"/>
      <c r="D94" s="346"/>
      <c r="E94" s="346"/>
      <c r="F94" s="346"/>
      <c r="G94" s="467"/>
      <c r="H94" s="346"/>
      <c r="I94" s="346"/>
      <c r="J94" s="346"/>
      <c r="K94" s="468"/>
      <c r="L94" s="472"/>
      <c r="M94" s="468"/>
      <c r="N94" s="472"/>
      <c r="O94" s="468"/>
      <c r="P94" s="472"/>
      <c r="Q94" s="473"/>
      <c r="R94" s="468"/>
    </row>
    <row r="95" spans="1:21">
      <c r="A95" s="346"/>
      <c r="B95" s="346"/>
      <c r="C95" s="346"/>
      <c r="D95" s="346"/>
      <c r="E95" s="346"/>
      <c r="F95" s="346"/>
      <c r="G95" s="467"/>
      <c r="H95" s="346"/>
      <c r="I95" s="346"/>
      <c r="J95" s="346"/>
      <c r="K95" s="468"/>
      <c r="L95" s="472"/>
      <c r="M95" s="468"/>
      <c r="N95" s="472"/>
      <c r="O95" s="468"/>
      <c r="P95" s="472"/>
      <c r="Q95" s="473"/>
      <c r="R95" s="468"/>
    </row>
    <row r="96" spans="1:21">
      <c r="A96" s="346"/>
      <c r="B96" s="346"/>
      <c r="C96" s="346"/>
      <c r="D96" s="346"/>
      <c r="E96" s="346"/>
      <c r="F96" s="346"/>
      <c r="G96" s="467"/>
      <c r="H96" s="346"/>
      <c r="I96" s="346"/>
      <c r="J96" s="346"/>
      <c r="K96" s="468"/>
      <c r="L96" s="472"/>
      <c r="M96" s="468"/>
      <c r="N96" s="472"/>
      <c r="O96" s="468"/>
      <c r="P96" s="472"/>
      <c r="Q96" s="473"/>
      <c r="R96" s="468"/>
    </row>
    <row r="97" spans="1:18">
      <c r="A97" s="346"/>
      <c r="B97" s="346"/>
      <c r="C97" s="346"/>
      <c r="D97" s="346"/>
      <c r="E97" s="346"/>
      <c r="F97" s="346"/>
      <c r="G97" s="346"/>
      <c r="H97" s="346"/>
      <c r="I97" s="346"/>
      <c r="J97" s="346"/>
      <c r="K97" s="468"/>
      <c r="L97" s="192"/>
      <c r="M97" s="468"/>
      <c r="N97" s="192"/>
      <c r="O97" s="468"/>
      <c r="P97" s="192"/>
      <c r="Q97" s="467"/>
      <c r="R97" s="346"/>
    </row>
    <row r="98" spans="1:18">
      <c r="A98" s="191"/>
      <c r="B98" s="346"/>
      <c r="C98" s="346"/>
      <c r="D98" s="346"/>
      <c r="E98" s="346"/>
      <c r="F98" s="474"/>
      <c r="G98" s="346"/>
      <c r="H98" s="346"/>
      <c r="I98" s="346"/>
      <c r="J98" s="346"/>
      <c r="K98" s="346"/>
      <c r="L98" s="467"/>
      <c r="M98" s="346"/>
      <c r="N98" s="346"/>
      <c r="O98" s="346"/>
      <c r="P98" s="454"/>
      <c r="Q98" s="346"/>
      <c r="R98" s="346"/>
    </row>
    <row r="99" spans="1:18">
      <c r="A99" s="346"/>
      <c r="B99" s="346"/>
      <c r="C99" s="346"/>
      <c r="D99" s="346"/>
      <c r="E99" s="346"/>
      <c r="F99" s="474"/>
      <c r="G99" s="346"/>
      <c r="H99" s="346"/>
      <c r="I99" s="346"/>
      <c r="J99" s="346"/>
      <c r="K99" s="346"/>
      <c r="L99" s="474"/>
      <c r="M99" s="346"/>
      <c r="N99" s="475"/>
      <c r="O99" s="346"/>
      <c r="P99" s="346"/>
      <c r="Q99" s="454"/>
      <c r="R99" s="346"/>
    </row>
    <row r="100" spans="1:18">
      <c r="A100" s="346"/>
      <c r="B100" s="346"/>
      <c r="C100" s="346"/>
      <c r="D100" s="346"/>
      <c r="E100" s="346"/>
      <c r="F100" s="346"/>
      <c r="G100" s="346"/>
      <c r="H100" s="346"/>
      <c r="I100" s="346"/>
      <c r="J100" s="346"/>
      <c r="K100" s="346"/>
      <c r="L100" s="346"/>
      <c r="M100" s="346"/>
      <c r="N100" s="454"/>
      <c r="O100" s="346"/>
      <c r="P100" s="346"/>
      <c r="Q100" s="346"/>
      <c r="R100" s="346"/>
    </row>
    <row r="101" spans="1:18">
      <c r="A101" s="346"/>
      <c r="B101" s="346"/>
      <c r="C101" s="346"/>
      <c r="D101" s="346"/>
      <c r="E101" s="346"/>
      <c r="F101" s="346"/>
      <c r="G101" s="346"/>
      <c r="H101" s="346"/>
      <c r="I101" s="346"/>
      <c r="J101" s="346"/>
      <c r="K101" s="346"/>
      <c r="L101" s="346"/>
      <c r="M101" s="346"/>
      <c r="N101" s="346"/>
      <c r="O101" s="346"/>
      <c r="P101" s="346"/>
      <c r="Q101" s="346"/>
      <c r="R101" s="346"/>
    </row>
    <row r="103" spans="1:18" ht="24.75" customHeight="1"/>
    <row r="104" spans="1:18">
      <c r="N104" s="183"/>
    </row>
    <row r="105" spans="1:18">
      <c r="F105" s="445"/>
      <c r="N105" s="476"/>
      <c r="O105" s="476"/>
    </row>
    <row r="106" spans="1:18">
      <c r="N106" s="445"/>
    </row>
    <row r="109" spans="1:18">
      <c r="F109" s="477"/>
    </row>
    <row r="110" spans="1:18">
      <c r="F110" s="478"/>
    </row>
    <row r="111" spans="1:18">
      <c r="E111" s="479"/>
    </row>
    <row r="112" spans="1:18">
      <c r="E112" s="480"/>
    </row>
    <row r="113" spans="5:5">
      <c r="E113" s="480"/>
    </row>
  </sheetData>
  <mergeCells count="34">
    <mergeCell ref="D5:R5"/>
    <mergeCell ref="D6:R6"/>
    <mergeCell ref="D7:R7"/>
    <mergeCell ref="D8:R8"/>
    <mergeCell ref="D11:R11"/>
    <mergeCell ref="D9:R9"/>
    <mergeCell ref="D10:R10"/>
    <mergeCell ref="J13:J14"/>
    <mergeCell ref="C12:F12"/>
    <mergeCell ref="R13:R14"/>
    <mergeCell ref="M12:N12"/>
    <mergeCell ref="K12:L12"/>
    <mergeCell ref="K13:K14"/>
    <mergeCell ref="Q13:Q14"/>
    <mergeCell ref="O12:P12"/>
    <mergeCell ref="O13:O14"/>
    <mergeCell ref="M13:M14"/>
    <mergeCell ref="H13:H14"/>
    <mergeCell ref="G13:G14"/>
    <mergeCell ref="I13:I14"/>
    <mergeCell ref="F13:F14"/>
    <mergeCell ref="G12:J12"/>
    <mergeCell ref="Q12:R12"/>
    <mergeCell ref="A83:D83"/>
    <mergeCell ref="A12:A14"/>
    <mergeCell ref="B12:B14"/>
    <mergeCell ref="C13:D13"/>
    <mergeCell ref="E13:E14"/>
    <mergeCell ref="A1:R1"/>
    <mergeCell ref="A2:R2"/>
    <mergeCell ref="A3:B3"/>
    <mergeCell ref="A4:B4"/>
    <mergeCell ref="C3:R3"/>
    <mergeCell ref="C4:R4"/>
  </mergeCells>
  <conditionalFormatting sqref="A15:R81">
    <cfRule type="expression" dxfId="4" priority="1">
      <formula>IF($M15&gt;0,1,0)</formula>
    </cfRule>
  </conditionalFormatting>
  <printOptions horizontalCentered="1"/>
  <pageMargins left="3.937007874015748E-2" right="0" top="0.43307086614173229" bottom="0.19685039370078741" header="0" footer="0"/>
  <pageSetup scale="57" fitToHeight="0" orientation="landscape" horizontalDpi="4294967293" r:id="rId1"/>
  <headerFooter scaleWithDoc="0" alignWithMargins="0"/>
  <rowBreaks count="1" manualBreakCount="1">
    <brk id="68" min="1" max="17" man="1"/>
  </rowBreaks>
  <colBreaks count="1" manualBreakCount="1">
    <brk id="18" max="1048575" man="1"/>
  </colBreaks>
  <ignoredErrors>
    <ignoredError sqref="I16:I83" unlockedFormula="1"/>
  </ignoredError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>
    <tabColor theme="8" tint="-0.249977111117893"/>
    <pageSetUpPr fitToPage="1"/>
  </sheetPr>
  <dimension ref="A1:AG113"/>
  <sheetViews>
    <sheetView showGridLines="0" view="pageBreakPreview" zoomScale="130" zoomScaleNormal="90" zoomScaleSheetLayoutView="130" zoomScalePageLayoutView="60" workbookViewId="0">
      <selection sqref="A1:R1"/>
    </sheetView>
  </sheetViews>
  <sheetFormatPr baseColWidth="10" defaultColWidth="11.44140625" defaultRowHeight="13.2"/>
  <cols>
    <col min="1" max="1" width="5.44140625" style="347" customWidth="1"/>
    <col min="2" max="2" width="53.44140625" style="347" customWidth="1"/>
    <col min="3" max="3" width="6.109375" style="347" customWidth="1"/>
    <col min="4" max="4" width="10.5546875" style="347" customWidth="1"/>
    <col min="5" max="5" width="10.88671875" style="347" customWidth="1"/>
    <col min="6" max="6" width="14.33203125" style="347" customWidth="1"/>
    <col min="7" max="7" width="10" style="347" customWidth="1"/>
    <col min="8" max="8" width="11.109375" style="347" customWidth="1"/>
    <col min="9" max="9" width="13.5546875" style="347" customWidth="1"/>
    <col min="10" max="10" width="8.6640625" style="347" customWidth="1"/>
    <col min="11" max="11" width="10.6640625" style="347" customWidth="1"/>
    <col min="12" max="12" width="13.88671875" style="347" customWidth="1"/>
    <col min="13" max="13" width="11.33203125" style="347" customWidth="1"/>
    <col min="14" max="14" width="15.6640625" style="347" customWidth="1"/>
    <col min="15" max="15" width="12.5546875" style="347" customWidth="1"/>
    <col min="16" max="16" width="13.6640625" style="347" customWidth="1"/>
    <col min="17" max="17" width="10.5546875" style="347" customWidth="1"/>
    <col min="18" max="18" width="10.109375" style="347" customWidth="1"/>
    <col min="19" max="19" width="20" style="347" customWidth="1"/>
    <col min="20" max="20" width="20" style="443" customWidth="1"/>
    <col min="21" max="21" width="20.33203125" style="443" customWidth="1"/>
    <col min="22" max="22" width="16" style="347" customWidth="1"/>
    <col min="23" max="23" width="11.44140625" style="347"/>
    <col min="24" max="24" width="23.44140625" style="347" customWidth="1"/>
    <col min="25" max="25" width="16.88671875" style="347" customWidth="1"/>
    <col min="26" max="16384" width="11.44140625" style="347"/>
  </cols>
  <sheetData>
    <row r="1" spans="1:25" s="276" customFormat="1" ht="23.25" customHeight="1">
      <c r="A1" s="790" t="s">
        <v>236</v>
      </c>
      <c r="B1" s="791"/>
      <c r="C1" s="791"/>
      <c r="D1" s="791"/>
      <c r="E1" s="791"/>
      <c r="F1" s="791"/>
      <c r="G1" s="791"/>
      <c r="H1" s="791"/>
      <c r="I1" s="791"/>
      <c r="J1" s="791"/>
      <c r="K1" s="791"/>
      <c r="L1" s="791"/>
      <c r="M1" s="791"/>
      <c r="N1" s="791"/>
      <c r="O1" s="791"/>
      <c r="P1" s="791"/>
      <c r="Q1" s="791"/>
      <c r="R1" s="792"/>
      <c r="T1" s="277"/>
      <c r="U1" s="277"/>
    </row>
    <row r="2" spans="1:25" s="2" customFormat="1" ht="18.75" customHeight="1">
      <c r="A2" s="793" t="str">
        <f>ANALISIS!A2:F2</f>
        <v>PROYECTO:  MEJORAMIENTO CAMINO ROSARIO DEL INGRE - MACHICOCA - IVOCA (FASE I)</v>
      </c>
      <c r="B2" s="794"/>
      <c r="C2" s="794"/>
      <c r="D2" s="794"/>
      <c r="E2" s="794"/>
      <c r="F2" s="794"/>
      <c r="G2" s="794"/>
      <c r="H2" s="794"/>
      <c r="I2" s="794"/>
      <c r="J2" s="794"/>
      <c r="K2" s="794"/>
      <c r="L2" s="794"/>
      <c r="M2" s="794"/>
      <c r="N2" s="794"/>
      <c r="O2" s="794"/>
      <c r="P2" s="794"/>
      <c r="Q2" s="794"/>
      <c r="R2" s="795"/>
      <c r="T2" s="6"/>
      <c r="U2" s="6"/>
    </row>
    <row r="3" spans="1:25" s="266" customFormat="1" ht="18.75" customHeight="1">
      <c r="A3" s="796" t="s">
        <v>9</v>
      </c>
      <c r="B3" s="719"/>
      <c r="C3" s="797" t="s">
        <v>78</v>
      </c>
      <c r="D3" s="797"/>
      <c r="E3" s="797"/>
      <c r="F3" s="797"/>
      <c r="G3" s="797"/>
      <c r="H3" s="797"/>
      <c r="I3" s="797"/>
      <c r="J3" s="797"/>
      <c r="K3" s="797"/>
      <c r="L3" s="797"/>
      <c r="M3" s="797"/>
      <c r="N3" s="797"/>
      <c r="O3" s="797"/>
      <c r="P3" s="797"/>
      <c r="Q3" s="797"/>
      <c r="R3" s="798"/>
      <c r="T3" s="267"/>
      <c r="U3" s="267"/>
    </row>
    <row r="4" spans="1:25" s="266" customFormat="1" ht="17.25" customHeight="1">
      <c r="A4" s="796" t="s">
        <v>15</v>
      </c>
      <c r="B4" s="719"/>
      <c r="C4" s="799" t="s">
        <v>77</v>
      </c>
      <c r="D4" s="799"/>
      <c r="E4" s="799"/>
      <c r="F4" s="799"/>
      <c r="G4" s="799"/>
      <c r="H4" s="799"/>
      <c r="I4" s="799"/>
      <c r="J4" s="799"/>
      <c r="K4" s="799"/>
      <c r="L4" s="799"/>
      <c r="M4" s="799"/>
      <c r="N4" s="799"/>
      <c r="O4" s="799"/>
      <c r="P4" s="799"/>
      <c r="Q4" s="799"/>
      <c r="R4" s="800"/>
      <c r="T4" s="267"/>
      <c r="U4" s="267"/>
    </row>
    <row r="5" spans="1:25" s="266" customFormat="1" ht="13.8">
      <c r="A5" s="274"/>
      <c r="B5" s="273" t="s">
        <v>11</v>
      </c>
      <c r="C5" s="272"/>
      <c r="D5" s="706">
        <v>43759</v>
      </c>
      <c r="E5" s="706"/>
      <c r="F5" s="706"/>
      <c r="G5" s="706"/>
      <c r="H5" s="706"/>
      <c r="I5" s="706"/>
      <c r="J5" s="706"/>
      <c r="K5" s="706"/>
      <c r="L5" s="706"/>
      <c r="M5" s="706"/>
      <c r="N5" s="706"/>
      <c r="O5" s="706"/>
      <c r="P5" s="706"/>
      <c r="Q5" s="706"/>
      <c r="R5" s="801"/>
      <c r="T5" s="267"/>
      <c r="U5" s="267"/>
    </row>
    <row r="6" spans="1:25" s="266" customFormat="1" ht="13.8">
      <c r="A6" s="270"/>
      <c r="B6" s="269" t="s">
        <v>12</v>
      </c>
      <c r="C6" s="271"/>
      <c r="D6" s="710" t="s">
        <v>85</v>
      </c>
      <c r="E6" s="710"/>
      <c r="F6" s="710"/>
      <c r="G6" s="710"/>
      <c r="H6" s="710"/>
      <c r="I6" s="710"/>
      <c r="J6" s="710"/>
      <c r="K6" s="710"/>
      <c r="L6" s="710"/>
      <c r="M6" s="710"/>
      <c r="N6" s="710"/>
      <c r="O6" s="710"/>
      <c r="P6" s="710"/>
      <c r="Q6" s="710"/>
      <c r="R6" s="789"/>
      <c r="T6" s="267"/>
      <c r="U6" s="267"/>
    </row>
    <row r="7" spans="1:25" s="266" customFormat="1" ht="13.8">
      <c r="A7" s="270"/>
      <c r="B7" s="269" t="s">
        <v>13</v>
      </c>
      <c r="C7" s="271"/>
      <c r="D7" s="708" t="s">
        <v>86</v>
      </c>
      <c r="E7" s="708"/>
      <c r="F7" s="708"/>
      <c r="G7" s="708"/>
      <c r="H7" s="708"/>
      <c r="I7" s="708"/>
      <c r="J7" s="708"/>
      <c r="K7" s="708"/>
      <c r="L7" s="708"/>
      <c r="M7" s="708"/>
      <c r="N7" s="708"/>
      <c r="O7" s="708"/>
      <c r="P7" s="708"/>
      <c r="Q7" s="708"/>
      <c r="R7" s="802"/>
      <c r="T7" s="267"/>
      <c r="U7" s="267"/>
    </row>
    <row r="8" spans="1:25" s="266" customFormat="1" ht="13.8">
      <c r="A8" s="270"/>
      <c r="B8" s="269" t="s">
        <v>14</v>
      </c>
      <c r="C8" s="271"/>
      <c r="D8" s="710">
        <f>600+D5</f>
        <v>44359</v>
      </c>
      <c r="E8" s="710"/>
      <c r="F8" s="710"/>
      <c r="G8" s="710"/>
      <c r="H8" s="710"/>
      <c r="I8" s="710"/>
      <c r="J8" s="710"/>
      <c r="K8" s="710"/>
      <c r="L8" s="710"/>
      <c r="M8" s="710"/>
      <c r="N8" s="710"/>
      <c r="O8" s="710"/>
      <c r="P8" s="710"/>
      <c r="Q8" s="710"/>
      <c r="R8" s="789"/>
      <c r="T8" s="267"/>
      <c r="U8" s="267"/>
    </row>
    <row r="9" spans="1:25" s="266" customFormat="1" ht="13.8">
      <c r="A9" s="270"/>
      <c r="B9" s="269" t="s">
        <v>88</v>
      </c>
      <c r="C9" s="271"/>
      <c r="D9" s="710" t="s">
        <v>87</v>
      </c>
      <c r="E9" s="710"/>
      <c r="F9" s="710"/>
      <c r="G9" s="710"/>
      <c r="H9" s="710"/>
      <c r="I9" s="710"/>
      <c r="J9" s="710"/>
      <c r="K9" s="710"/>
      <c r="L9" s="710"/>
      <c r="M9" s="710"/>
      <c r="N9" s="710"/>
      <c r="O9" s="710"/>
      <c r="P9" s="710"/>
      <c r="Q9" s="710"/>
      <c r="R9" s="789"/>
      <c r="T9" s="267"/>
      <c r="U9" s="267"/>
    </row>
    <row r="10" spans="1:25" s="266" customFormat="1" ht="13.8">
      <c r="A10" s="270"/>
      <c r="B10" s="269" t="s">
        <v>79</v>
      </c>
      <c r="C10" s="271"/>
      <c r="D10" s="710">
        <v>44570</v>
      </c>
      <c r="E10" s="710"/>
      <c r="F10" s="710"/>
      <c r="G10" s="710"/>
      <c r="H10" s="710"/>
      <c r="I10" s="710"/>
      <c r="J10" s="710"/>
      <c r="K10" s="710"/>
      <c r="L10" s="710"/>
      <c r="M10" s="710"/>
      <c r="N10" s="710"/>
      <c r="O10" s="710"/>
      <c r="P10" s="710"/>
      <c r="Q10" s="710"/>
      <c r="R10" s="789"/>
      <c r="T10" s="267"/>
      <c r="U10" s="267"/>
    </row>
    <row r="11" spans="1:25" s="266" customFormat="1" ht="13.8">
      <c r="A11" s="438"/>
      <c r="B11" s="439" t="s">
        <v>196</v>
      </c>
      <c r="C11" s="440"/>
      <c r="D11" s="803">
        <v>0</v>
      </c>
      <c r="E11" s="803"/>
      <c r="F11" s="803"/>
      <c r="G11" s="803"/>
      <c r="H11" s="803"/>
      <c r="I11" s="803"/>
      <c r="J11" s="803"/>
      <c r="K11" s="803"/>
      <c r="L11" s="803"/>
      <c r="M11" s="803"/>
      <c r="N11" s="803"/>
      <c r="O11" s="803"/>
      <c r="P11" s="803"/>
      <c r="Q11" s="803"/>
      <c r="R11" s="804"/>
      <c r="T11" s="267"/>
      <c r="U11" s="267"/>
    </row>
    <row r="12" spans="1:25" s="260" customFormat="1" ht="20.25" customHeight="1">
      <c r="A12" s="777" t="s">
        <v>2</v>
      </c>
      <c r="B12" s="728" t="s">
        <v>0</v>
      </c>
      <c r="C12" s="779" t="s">
        <v>3</v>
      </c>
      <c r="D12" s="779"/>
      <c r="E12" s="779"/>
      <c r="F12" s="779"/>
      <c r="G12" s="780" t="s">
        <v>80</v>
      </c>
      <c r="H12" s="781"/>
      <c r="I12" s="781"/>
      <c r="J12" s="782"/>
      <c r="K12" s="779" t="s">
        <v>195</v>
      </c>
      <c r="L12" s="779"/>
      <c r="M12" s="783" t="s">
        <v>194</v>
      </c>
      <c r="N12" s="784"/>
      <c r="O12" s="779" t="s">
        <v>161</v>
      </c>
      <c r="P12" s="779"/>
      <c r="Q12" s="785" t="s">
        <v>193</v>
      </c>
      <c r="R12" s="786"/>
      <c r="T12" s="261"/>
      <c r="U12" s="261"/>
    </row>
    <row r="13" spans="1:25" s="260" customFormat="1" ht="12.75" customHeight="1">
      <c r="A13" s="777"/>
      <c r="B13" s="728"/>
      <c r="C13" s="779" t="s">
        <v>5</v>
      </c>
      <c r="D13" s="779"/>
      <c r="E13" s="728" t="s">
        <v>1</v>
      </c>
      <c r="F13" s="728" t="s">
        <v>6</v>
      </c>
      <c r="G13" s="773" t="s">
        <v>81</v>
      </c>
      <c r="H13" s="773" t="s">
        <v>82</v>
      </c>
      <c r="I13" s="773" t="s">
        <v>192</v>
      </c>
      <c r="J13" s="729" t="s">
        <v>4</v>
      </c>
      <c r="K13" s="728" t="s">
        <v>1</v>
      </c>
      <c r="L13" s="437" t="s">
        <v>189</v>
      </c>
      <c r="M13" s="728" t="s">
        <v>1</v>
      </c>
      <c r="N13" s="437" t="s">
        <v>189</v>
      </c>
      <c r="O13" s="728" t="s">
        <v>1</v>
      </c>
      <c r="P13" s="437" t="s">
        <v>189</v>
      </c>
      <c r="Q13" s="728" t="s">
        <v>191</v>
      </c>
      <c r="R13" s="787" t="s">
        <v>190</v>
      </c>
      <c r="T13" s="261"/>
      <c r="U13" s="261"/>
    </row>
    <row r="14" spans="1:25" s="260" customFormat="1" ht="33.75" customHeight="1">
      <c r="A14" s="778"/>
      <c r="B14" s="729"/>
      <c r="C14" s="264" t="s">
        <v>7</v>
      </c>
      <c r="D14" s="264" t="s">
        <v>8</v>
      </c>
      <c r="E14" s="729"/>
      <c r="F14" s="729"/>
      <c r="G14" s="774"/>
      <c r="H14" s="774"/>
      <c r="I14" s="774"/>
      <c r="J14" s="770"/>
      <c r="K14" s="729"/>
      <c r="L14" s="264" t="s">
        <v>8</v>
      </c>
      <c r="M14" s="729"/>
      <c r="N14" s="264" t="s">
        <v>8</v>
      </c>
      <c r="O14" s="729"/>
      <c r="P14" s="264" t="s">
        <v>8</v>
      </c>
      <c r="Q14" s="729"/>
      <c r="R14" s="788" t="s">
        <v>188</v>
      </c>
      <c r="S14" s="263"/>
      <c r="T14" s="262"/>
      <c r="U14" s="261"/>
    </row>
    <row r="15" spans="1:25" ht="13.8">
      <c r="A15" s="441"/>
      <c r="B15" s="442" t="s">
        <v>26</v>
      </c>
      <c r="C15" s="227"/>
      <c r="D15" s="259"/>
      <c r="E15" s="259"/>
      <c r="F15" s="258"/>
      <c r="G15" s="226"/>
      <c r="H15" s="226"/>
      <c r="I15" s="226"/>
      <c r="J15" s="224"/>
      <c r="K15" s="258"/>
      <c r="L15" s="221"/>
      <c r="M15" s="221"/>
      <c r="N15" s="221"/>
      <c r="O15" s="221"/>
      <c r="P15" s="221"/>
      <c r="Q15" s="221"/>
      <c r="R15" s="220"/>
    </row>
    <row r="16" spans="1:25" ht="13.8">
      <c r="A16" s="444">
        <v>1</v>
      </c>
      <c r="B16" s="241" t="s">
        <v>17</v>
      </c>
      <c r="C16" s="234" t="s">
        <v>18</v>
      </c>
      <c r="D16" s="233">
        <v>47860.38</v>
      </c>
      <c r="E16" s="233">
        <v>0.5</v>
      </c>
      <c r="F16" s="240">
        <v>23930.19</v>
      </c>
      <c r="G16" s="314">
        <v>0</v>
      </c>
      <c r="H16" s="315">
        <v>0.5</v>
      </c>
      <c r="I16" s="315">
        <v>23930.19</v>
      </c>
      <c r="J16" s="330">
        <v>0</v>
      </c>
      <c r="K16" s="317">
        <v>0.5</v>
      </c>
      <c r="L16" s="318">
        <v>23930.19</v>
      </c>
      <c r="M16" s="317"/>
      <c r="N16" s="318">
        <f t="shared" ref="N16:N21" si="0">ROUND(M16*D16,2)</f>
        <v>0</v>
      </c>
      <c r="O16" s="317">
        <f t="shared" ref="O16:O34" si="1">IF(M16+K16=0,"",M16+K16)</f>
        <v>0.5</v>
      </c>
      <c r="P16" s="318">
        <f t="shared" ref="P16:P21" si="2">L16+N16</f>
        <v>23930.19</v>
      </c>
      <c r="Q16" s="317">
        <f t="shared" ref="Q16:Q21" si="3">IF(ISERROR(N16/I16),"",ROUND(N16/I16*100,2))</f>
        <v>0</v>
      </c>
      <c r="R16" s="319">
        <f t="shared" ref="R16:R21" si="4">IF(ISERROR(P16/I16),"",ROUND(P16/I16*100,2))</f>
        <v>100</v>
      </c>
      <c r="S16" s="445"/>
      <c r="T16" s="254"/>
      <c r="W16" s="446"/>
      <c r="X16" s="446"/>
      <c r="Y16" s="447"/>
    </row>
    <row r="17" spans="1:33" ht="13.8">
      <c r="A17" s="448">
        <v>2</v>
      </c>
      <c r="B17" s="219" t="s">
        <v>19</v>
      </c>
      <c r="C17" s="218" t="s">
        <v>20</v>
      </c>
      <c r="D17" s="217">
        <v>4767.6099999999997</v>
      </c>
      <c r="E17" s="217">
        <v>5.57</v>
      </c>
      <c r="F17" s="216">
        <v>26555.59</v>
      </c>
      <c r="G17" s="320">
        <v>0</v>
      </c>
      <c r="H17" s="238">
        <v>5.57</v>
      </c>
      <c r="I17" s="238">
        <v>26555.59</v>
      </c>
      <c r="J17" s="237"/>
      <c r="K17" s="320">
        <v>5.57</v>
      </c>
      <c r="L17" s="321">
        <v>26555.59</v>
      </c>
      <c r="M17" s="235"/>
      <c r="N17" s="321">
        <f t="shared" si="0"/>
        <v>0</v>
      </c>
      <c r="O17" s="235">
        <f t="shared" si="1"/>
        <v>5.57</v>
      </c>
      <c r="P17" s="321">
        <f t="shared" si="2"/>
        <v>26555.59</v>
      </c>
      <c r="Q17" s="235">
        <f t="shared" si="3"/>
        <v>0</v>
      </c>
      <c r="R17" s="322">
        <f t="shared" si="4"/>
        <v>100</v>
      </c>
      <c r="S17" s="445"/>
      <c r="T17" s="254"/>
      <c r="W17" s="446"/>
      <c r="X17" s="446"/>
      <c r="Y17" s="447"/>
    </row>
    <row r="18" spans="1:33" s="452" customFormat="1" ht="13.8">
      <c r="A18" s="448">
        <v>3</v>
      </c>
      <c r="B18" s="219" t="s">
        <v>21</v>
      </c>
      <c r="C18" s="218" t="s">
        <v>10</v>
      </c>
      <c r="D18" s="217">
        <v>15.64</v>
      </c>
      <c r="E18" s="217">
        <v>40377.64</v>
      </c>
      <c r="F18" s="216">
        <v>631506.29</v>
      </c>
      <c r="G18" s="320">
        <v>57206.19</v>
      </c>
      <c r="H18" s="238">
        <v>97583.83</v>
      </c>
      <c r="I18" s="238">
        <v>1526211.1</v>
      </c>
      <c r="J18" s="237"/>
      <c r="K18" s="235">
        <v>95131.93</v>
      </c>
      <c r="L18" s="321">
        <v>1487863.39</v>
      </c>
      <c r="M18" s="235"/>
      <c r="N18" s="321">
        <f t="shared" si="0"/>
        <v>0</v>
      </c>
      <c r="O18" s="235">
        <f t="shared" si="1"/>
        <v>95131.93</v>
      </c>
      <c r="P18" s="321">
        <f t="shared" si="2"/>
        <v>1487863.39</v>
      </c>
      <c r="Q18" s="235">
        <f t="shared" si="3"/>
        <v>0</v>
      </c>
      <c r="R18" s="322">
        <f t="shared" si="4"/>
        <v>97.49</v>
      </c>
      <c r="S18" s="449"/>
      <c r="T18" s="449"/>
      <c r="U18" s="449"/>
      <c r="V18" s="450"/>
      <c r="W18" s="451"/>
      <c r="X18" s="451"/>
      <c r="Y18" s="447"/>
      <c r="Z18" s="450"/>
      <c r="AA18" s="450"/>
      <c r="AB18" s="450"/>
      <c r="AC18" s="450"/>
      <c r="AD18" s="450"/>
      <c r="AE18" s="450"/>
      <c r="AF18" s="450"/>
      <c r="AG18" s="450"/>
    </row>
    <row r="19" spans="1:33" s="452" customFormat="1" ht="13.8">
      <c r="A19" s="448">
        <v>4</v>
      </c>
      <c r="B19" s="219" t="s">
        <v>22</v>
      </c>
      <c r="C19" s="218" t="s">
        <v>10</v>
      </c>
      <c r="D19" s="217">
        <v>18.52</v>
      </c>
      <c r="E19" s="217">
        <v>10580</v>
      </c>
      <c r="F19" s="216">
        <v>195941.6</v>
      </c>
      <c r="G19" s="320">
        <v>17742.57</v>
      </c>
      <c r="H19" s="238">
        <v>28322.57</v>
      </c>
      <c r="I19" s="238">
        <v>524534</v>
      </c>
      <c r="J19" s="237"/>
      <c r="K19" s="235">
        <v>25190.32</v>
      </c>
      <c r="L19" s="321">
        <v>466524.73</v>
      </c>
      <c r="M19" s="235"/>
      <c r="N19" s="321">
        <f t="shared" si="0"/>
        <v>0</v>
      </c>
      <c r="O19" s="235">
        <f t="shared" si="1"/>
        <v>25190.32</v>
      </c>
      <c r="P19" s="321">
        <f t="shared" si="2"/>
        <v>466524.73</v>
      </c>
      <c r="Q19" s="235">
        <f t="shared" si="3"/>
        <v>0</v>
      </c>
      <c r="R19" s="322">
        <f t="shared" si="4"/>
        <v>88.94</v>
      </c>
      <c r="S19" s="449"/>
      <c r="T19" s="449"/>
      <c r="U19" s="449"/>
      <c r="V19" s="450"/>
      <c r="W19" s="451"/>
      <c r="X19" s="451"/>
      <c r="Y19" s="447"/>
      <c r="Z19" s="450"/>
      <c r="AA19" s="450"/>
      <c r="AB19" s="450"/>
      <c r="AC19" s="450"/>
      <c r="AD19" s="450"/>
      <c r="AE19" s="450"/>
      <c r="AF19" s="450"/>
      <c r="AG19" s="450"/>
    </row>
    <row r="20" spans="1:33" ht="13.8">
      <c r="A20" s="448">
        <v>5</v>
      </c>
      <c r="B20" s="257" t="s">
        <v>23</v>
      </c>
      <c r="C20" s="218" t="s">
        <v>10</v>
      </c>
      <c r="D20" s="217">
        <v>57.61</v>
      </c>
      <c r="E20" s="217">
        <v>11436.25</v>
      </c>
      <c r="F20" s="216">
        <v>658842.36</v>
      </c>
      <c r="G20" s="320">
        <v>-2950.25</v>
      </c>
      <c r="H20" s="238">
        <v>8486</v>
      </c>
      <c r="I20" s="238">
        <v>488878.46</v>
      </c>
      <c r="J20" s="237"/>
      <c r="K20" s="321">
        <v>4380.2</v>
      </c>
      <c r="L20" s="321">
        <v>252343.32</v>
      </c>
      <c r="M20" s="321"/>
      <c r="N20" s="321">
        <f t="shared" si="0"/>
        <v>0</v>
      </c>
      <c r="O20" s="235">
        <f t="shared" si="1"/>
        <v>4380.2</v>
      </c>
      <c r="P20" s="321">
        <f t="shared" si="2"/>
        <v>252343.32</v>
      </c>
      <c r="Q20" s="235">
        <f t="shared" si="3"/>
        <v>0</v>
      </c>
      <c r="R20" s="322">
        <f t="shared" si="4"/>
        <v>51.62</v>
      </c>
      <c r="S20" s="445"/>
      <c r="T20" s="254"/>
      <c r="U20" s="254"/>
      <c r="V20" s="445"/>
      <c r="W20" s="446"/>
      <c r="X20" s="446"/>
      <c r="Y20" s="447"/>
      <c r="Z20" s="445"/>
      <c r="AA20" s="445"/>
      <c r="AB20" s="445"/>
      <c r="AC20" s="445"/>
      <c r="AD20" s="445"/>
      <c r="AE20" s="445"/>
      <c r="AF20" s="445"/>
      <c r="AG20" s="445"/>
    </row>
    <row r="21" spans="1:33" ht="13.8">
      <c r="A21" s="453">
        <v>6</v>
      </c>
      <c r="B21" s="256" t="s">
        <v>24</v>
      </c>
      <c r="C21" s="214" t="s">
        <v>25</v>
      </c>
      <c r="D21" s="213">
        <v>4.8600000000000003</v>
      </c>
      <c r="E21" s="213">
        <v>40296</v>
      </c>
      <c r="F21" s="230">
        <v>195838.56</v>
      </c>
      <c r="G21" s="324">
        <v>35000</v>
      </c>
      <c r="H21" s="325">
        <v>75296</v>
      </c>
      <c r="I21" s="325">
        <v>365938.56</v>
      </c>
      <c r="J21" s="326"/>
      <c r="K21" s="324">
        <v>45120</v>
      </c>
      <c r="L21" s="327">
        <v>219283.20000000001</v>
      </c>
      <c r="M21" s="328">
        <v>29302.5</v>
      </c>
      <c r="N21" s="327">
        <f t="shared" si="0"/>
        <v>142410.15</v>
      </c>
      <c r="O21" s="328">
        <f t="shared" si="1"/>
        <v>74422.5</v>
      </c>
      <c r="P21" s="327">
        <f t="shared" si="2"/>
        <v>361693.35</v>
      </c>
      <c r="Q21" s="328">
        <f t="shared" si="3"/>
        <v>38.92</v>
      </c>
      <c r="R21" s="329">
        <f t="shared" si="4"/>
        <v>98.84</v>
      </c>
      <c r="S21" s="445"/>
      <c r="T21" s="254"/>
      <c r="U21" s="254"/>
      <c r="V21" s="454"/>
      <c r="W21" s="446"/>
      <c r="X21" s="446"/>
      <c r="Y21" s="447"/>
      <c r="Z21" s="445"/>
      <c r="AA21" s="445"/>
      <c r="AB21" s="445"/>
      <c r="AC21" s="445"/>
      <c r="AD21" s="445"/>
      <c r="AE21" s="445"/>
      <c r="AF21" s="445"/>
      <c r="AG21" s="445"/>
    </row>
    <row r="22" spans="1:33" ht="13.8">
      <c r="A22" s="441"/>
      <c r="B22" s="255" t="s">
        <v>27</v>
      </c>
      <c r="C22" s="227"/>
      <c r="D22" s="226"/>
      <c r="E22" s="226"/>
      <c r="F22" s="225"/>
      <c r="G22" s="226"/>
      <c r="H22" s="225"/>
      <c r="I22" s="225"/>
      <c r="J22" s="224"/>
      <c r="K22" s="222"/>
      <c r="L22" s="221"/>
      <c r="M22" s="221"/>
      <c r="N22" s="221"/>
      <c r="O22" s="221" t="str">
        <f t="shared" si="1"/>
        <v/>
      </c>
      <c r="P22" s="222"/>
      <c r="Q22" s="221"/>
      <c r="R22" s="220"/>
      <c r="S22" s="445"/>
      <c r="T22" s="254"/>
      <c r="U22" s="254"/>
      <c r="V22" s="183"/>
      <c r="W22" s="445"/>
      <c r="X22" s="445"/>
      <c r="Y22" s="445"/>
      <c r="Z22" s="445"/>
      <c r="AA22" s="445"/>
      <c r="AB22" s="445"/>
      <c r="AC22" s="445"/>
      <c r="AD22" s="445"/>
      <c r="AE22" s="445"/>
      <c r="AF22" s="445"/>
      <c r="AG22" s="445"/>
    </row>
    <row r="23" spans="1:33" ht="12.75" customHeight="1">
      <c r="A23" s="444">
        <v>7</v>
      </c>
      <c r="B23" s="241" t="s">
        <v>28</v>
      </c>
      <c r="C23" s="234" t="s">
        <v>10</v>
      </c>
      <c r="D23" s="233">
        <v>61.39</v>
      </c>
      <c r="E23" s="233">
        <v>23213.09</v>
      </c>
      <c r="F23" s="240">
        <v>1425051.6</v>
      </c>
      <c r="G23" s="314">
        <v>0</v>
      </c>
      <c r="H23" s="315">
        <v>23213.09</v>
      </c>
      <c r="I23" s="315">
        <v>1425051.6</v>
      </c>
      <c r="J23" s="330"/>
      <c r="K23" s="318">
        <v>8361.75</v>
      </c>
      <c r="L23" s="317">
        <v>513327.84</v>
      </c>
      <c r="M23" s="317">
        <v>5857.5</v>
      </c>
      <c r="N23" s="317">
        <f t="shared" ref="N23:N25" si="5">ROUND(M23*D23,2)</f>
        <v>359591.93</v>
      </c>
      <c r="O23" s="317">
        <f t="shared" si="1"/>
        <v>14219.25</v>
      </c>
      <c r="P23" s="318">
        <f>L23+N23</f>
        <v>872919.77</v>
      </c>
      <c r="Q23" s="317">
        <f>IF(ISERROR(N23/I23),"",ROUND(N23/I23*100,2))</f>
        <v>25.23</v>
      </c>
      <c r="R23" s="319">
        <f>IF(ISERROR(P23/I23),"",ROUND(P23/I23*100,2))</f>
        <v>61.26</v>
      </c>
      <c r="S23" s="445"/>
      <c r="T23" s="254"/>
      <c r="U23" s="254"/>
      <c r="V23" s="445"/>
      <c r="W23" s="445"/>
      <c r="X23" s="445"/>
      <c r="Y23" s="445"/>
      <c r="Z23" s="445"/>
      <c r="AA23" s="445"/>
      <c r="AB23" s="445"/>
      <c r="AC23" s="445"/>
      <c r="AD23" s="445"/>
      <c r="AE23" s="445"/>
      <c r="AF23" s="445"/>
      <c r="AG23" s="445"/>
    </row>
    <row r="24" spans="1:33" ht="13.8">
      <c r="A24" s="448">
        <v>8</v>
      </c>
      <c r="B24" s="219" t="s">
        <v>29</v>
      </c>
      <c r="C24" s="218" t="s">
        <v>10</v>
      </c>
      <c r="D24" s="217">
        <v>18.55</v>
      </c>
      <c r="E24" s="217">
        <v>24098.81</v>
      </c>
      <c r="F24" s="216">
        <v>447032.93</v>
      </c>
      <c r="G24" s="320">
        <v>0</v>
      </c>
      <c r="H24" s="238">
        <v>24098.81</v>
      </c>
      <c r="I24" s="238">
        <v>447032.93</v>
      </c>
      <c r="J24" s="237"/>
      <c r="K24" s="321">
        <v>8361.75</v>
      </c>
      <c r="L24" s="235">
        <v>155110.47</v>
      </c>
      <c r="M24" s="235">
        <v>5857.5</v>
      </c>
      <c r="N24" s="235">
        <f t="shared" si="5"/>
        <v>108656.63</v>
      </c>
      <c r="O24" s="235">
        <f t="shared" si="1"/>
        <v>14219.25</v>
      </c>
      <c r="P24" s="321">
        <f>L24+N24</f>
        <v>263767.09999999998</v>
      </c>
      <c r="Q24" s="235">
        <f>IF(ISERROR(N24/I24),"",ROUND(N24/I24*100,2))</f>
        <v>24.31</v>
      </c>
      <c r="R24" s="322">
        <f>IF(ISERROR(P24/I24),"",ROUND(P24/I24*100,2))</f>
        <v>59</v>
      </c>
      <c r="S24" s="445"/>
      <c r="T24" s="254"/>
      <c r="U24" s="254"/>
      <c r="V24" s="445"/>
      <c r="W24" s="445"/>
      <c r="X24" s="445"/>
      <c r="Y24" s="445"/>
      <c r="Z24" s="445"/>
      <c r="AA24" s="445"/>
      <c r="AB24" s="445"/>
      <c r="AC24" s="445"/>
      <c r="AD24" s="445"/>
      <c r="AE24" s="445"/>
      <c r="AF24" s="445"/>
      <c r="AG24" s="445"/>
    </row>
    <row r="25" spans="1:33" ht="13.8">
      <c r="A25" s="453">
        <v>9</v>
      </c>
      <c r="B25" s="215" t="s">
        <v>30</v>
      </c>
      <c r="C25" s="214" t="s">
        <v>18</v>
      </c>
      <c r="D25" s="213">
        <v>44453.32</v>
      </c>
      <c r="E25" s="213">
        <v>0.4</v>
      </c>
      <c r="F25" s="212">
        <v>17781.330000000002</v>
      </c>
      <c r="G25" s="324">
        <v>0</v>
      </c>
      <c r="H25" s="325">
        <v>0.4</v>
      </c>
      <c r="I25" s="325">
        <v>17781.330000000002</v>
      </c>
      <c r="J25" s="326"/>
      <c r="K25" s="327">
        <v>13335.11</v>
      </c>
      <c r="L25" s="328">
        <v>10223.86</v>
      </c>
      <c r="M25" s="327">
        <v>0.1</v>
      </c>
      <c r="N25" s="328">
        <f t="shared" si="5"/>
        <v>4445.33</v>
      </c>
      <c r="O25" s="327">
        <f t="shared" si="1"/>
        <v>13335.21</v>
      </c>
      <c r="P25" s="327">
        <f>L25+N25</f>
        <v>14669.19</v>
      </c>
      <c r="Q25" s="328">
        <f>IF(ISERROR(N25/I25),"",ROUND(N25/I25*100,2))</f>
        <v>25</v>
      </c>
      <c r="R25" s="329">
        <f>IF(ISERROR(P25/I25),"",ROUND(P25/I25*100,2))</f>
        <v>82.5</v>
      </c>
      <c r="S25" s="445"/>
      <c r="T25" s="254"/>
      <c r="U25" s="254"/>
      <c r="V25" s="445"/>
      <c r="W25" s="445"/>
      <c r="X25" s="445"/>
      <c r="Y25" s="445"/>
      <c r="Z25" s="445"/>
      <c r="AA25" s="445"/>
      <c r="AB25" s="445"/>
      <c r="AC25" s="445"/>
      <c r="AD25" s="445"/>
      <c r="AE25" s="445"/>
      <c r="AF25" s="445"/>
      <c r="AG25" s="445"/>
    </row>
    <row r="26" spans="1:33" ht="13.5" customHeight="1">
      <c r="A26" s="441"/>
      <c r="B26" s="442" t="s">
        <v>31</v>
      </c>
      <c r="C26" s="227"/>
      <c r="D26" s="226"/>
      <c r="E26" s="226"/>
      <c r="F26" s="225"/>
      <c r="G26" s="226"/>
      <c r="H26" s="225"/>
      <c r="I26" s="225"/>
      <c r="J26" s="224"/>
      <c r="K26" s="223"/>
      <c r="L26" s="221"/>
      <c r="M26" s="221"/>
      <c r="N26" s="221"/>
      <c r="O26" s="222" t="str">
        <f t="shared" si="1"/>
        <v/>
      </c>
      <c r="P26" s="222"/>
      <c r="Q26" s="221"/>
      <c r="R26" s="220"/>
      <c r="S26" s="445"/>
      <c r="T26" s="254"/>
      <c r="U26" s="254"/>
      <c r="V26" s="445"/>
      <c r="W26" s="445"/>
      <c r="X26" s="445"/>
      <c r="Y26" s="445"/>
      <c r="Z26" s="445"/>
      <c r="AA26" s="445"/>
      <c r="AB26" s="445"/>
      <c r="AC26" s="445"/>
      <c r="AD26" s="445"/>
      <c r="AE26" s="445"/>
      <c r="AF26" s="445"/>
      <c r="AG26" s="445"/>
    </row>
    <row r="27" spans="1:33" ht="13.8">
      <c r="A27" s="444">
        <v>10</v>
      </c>
      <c r="B27" s="241" t="s">
        <v>32</v>
      </c>
      <c r="C27" s="234" t="s">
        <v>18</v>
      </c>
      <c r="D27" s="233">
        <v>3848.37</v>
      </c>
      <c r="E27" s="233">
        <v>0.2</v>
      </c>
      <c r="F27" s="240">
        <v>769.67</v>
      </c>
      <c r="G27" s="314">
        <v>0</v>
      </c>
      <c r="H27" s="315">
        <v>0.2</v>
      </c>
      <c r="I27" s="315">
        <v>769.67</v>
      </c>
      <c r="J27" s="330"/>
      <c r="K27" s="315">
        <v>3848.37</v>
      </c>
      <c r="L27" s="317">
        <v>769.67</v>
      </c>
      <c r="M27" s="317"/>
      <c r="N27" s="317">
        <f t="shared" ref="N27:N40" si="6">ROUND(M27*D27,2)</f>
        <v>0</v>
      </c>
      <c r="O27" s="318">
        <f t="shared" si="1"/>
        <v>3848.37</v>
      </c>
      <c r="P27" s="318">
        <f t="shared" ref="P27:P40" si="7">L27+N27</f>
        <v>769.67</v>
      </c>
      <c r="Q27" s="317">
        <f t="shared" ref="Q27:Q40" si="8">IF(ISERROR(N27/I27),"",ROUND(N27/I27*100,2))</f>
        <v>0</v>
      </c>
      <c r="R27" s="319">
        <f t="shared" ref="R27:R40" si="9">IF(ISERROR(P27/I27),"",ROUND(P27/I27*100,2))</f>
        <v>100</v>
      </c>
      <c r="S27" s="254"/>
      <c r="T27" s="254"/>
      <c r="U27" s="254"/>
      <c r="V27" s="445"/>
      <c r="W27" s="445"/>
      <c r="X27" s="445"/>
      <c r="Y27" s="445"/>
      <c r="Z27" s="445"/>
      <c r="AA27" s="445"/>
      <c r="AB27" s="445"/>
      <c r="AC27" s="445"/>
      <c r="AD27" s="445"/>
      <c r="AE27" s="445"/>
      <c r="AF27" s="445"/>
      <c r="AG27" s="445"/>
    </row>
    <row r="28" spans="1:33" s="452" customFormat="1" ht="13.8">
      <c r="A28" s="448">
        <v>11</v>
      </c>
      <c r="B28" s="219" t="s">
        <v>33</v>
      </c>
      <c r="C28" s="218" t="s">
        <v>10</v>
      </c>
      <c r="D28" s="217">
        <v>27.03</v>
      </c>
      <c r="E28" s="217">
        <v>7899.85</v>
      </c>
      <c r="F28" s="216">
        <v>213532.95</v>
      </c>
      <c r="G28" s="320">
        <v>0</v>
      </c>
      <c r="H28" s="238">
        <v>7899.85</v>
      </c>
      <c r="I28" s="238">
        <v>213532.95</v>
      </c>
      <c r="J28" s="237"/>
      <c r="K28" s="238">
        <v>4386.6099999999997</v>
      </c>
      <c r="L28" s="235">
        <v>118570.07</v>
      </c>
      <c r="M28" s="235">
        <v>131.85</v>
      </c>
      <c r="N28" s="235">
        <f t="shared" si="6"/>
        <v>3563.91</v>
      </c>
      <c r="O28" s="321">
        <f t="shared" si="1"/>
        <v>4518.46</v>
      </c>
      <c r="P28" s="321">
        <f t="shared" si="7"/>
        <v>122133.98</v>
      </c>
      <c r="Q28" s="235">
        <f t="shared" si="8"/>
        <v>1.67</v>
      </c>
      <c r="R28" s="322">
        <f t="shared" si="9"/>
        <v>57.2</v>
      </c>
      <c r="S28" s="449"/>
      <c r="T28" s="449"/>
      <c r="U28" s="455"/>
      <c r="V28" s="450"/>
    </row>
    <row r="29" spans="1:33" s="452" customFormat="1" ht="15.75" customHeight="1">
      <c r="A29" s="448">
        <v>12</v>
      </c>
      <c r="B29" s="219" t="s">
        <v>34</v>
      </c>
      <c r="C29" s="218" t="s">
        <v>10</v>
      </c>
      <c r="D29" s="217">
        <v>652.63</v>
      </c>
      <c r="E29" s="217">
        <v>1522.75</v>
      </c>
      <c r="F29" s="216">
        <v>993792.33</v>
      </c>
      <c r="G29" s="320">
        <v>3076.2</v>
      </c>
      <c r="H29" s="238">
        <v>4598.95</v>
      </c>
      <c r="I29" s="238">
        <v>3001412.74</v>
      </c>
      <c r="J29" s="237"/>
      <c r="K29" s="238">
        <v>4026.76</v>
      </c>
      <c r="L29" s="235">
        <v>2627984.37</v>
      </c>
      <c r="M29" s="235"/>
      <c r="N29" s="235">
        <f t="shared" si="6"/>
        <v>0</v>
      </c>
      <c r="O29" s="321">
        <f t="shared" si="1"/>
        <v>4026.76</v>
      </c>
      <c r="P29" s="456">
        <f t="shared" si="7"/>
        <v>2627984.37</v>
      </c>
      <c r="Q29" s="235">
        <f t="shared" si="8"/>
        <v>0</v>
      </c>
      <c r="R29" s="322">
        <f t="shared" si="9"/>
        <v>87.56</v>
      </c>
      <c r="S29" s="449"/>
      <c r="T29" s="449"/>
      <c r="U29" s="455"/>
      <c r="V29" s="450"/>
    </row>
    <row r="30" spans="1:33" s="460" customFormat="1" ht="13.8">
      <c r="A30" s="448">
        <v>13</v>
      </c>
      <c r="B30" s="219" t="s">
        <v>35</v>
      </c>
      <c r="C30" s="218" t="s">
        <v>10</v>
      </c>
      <c r="D30" s="217">
        <v>1801.53</v>
      </c>
      <c r="E30" s="217">
        <v>837.96</v>
      </c>
      <c r="F30" s="216">
        <v>1509610.08</v>
      </c>
      <c r="G30" s="320">
        <v>-236.8</v>
      </c>
      <c r="H30" s="238">
        <v>601.16</v>
      </c>
      <c r="I30" s="238">
        <v>1083007.77</v>
      </c>
      <c r="J30" s="237"/>
      <c r="K30" s="238">
        <v>168.72</v>
      </c>
      <c r="L30" s="235">
        <v>303954.14</v>
      </c>
      <c r="M30" s="235">
        <v>42.34</v>
      </c>
      <c r="N30" s="235">
        <f t="shared" si="6"/>
        <v>76276.78</v>
      </c>
      <c r="O30" s="321">
        <f t="shared" si="1"/>
        <v>211.06</v>
      </c>
      <c r="P30" s="321">
        <f t="shared" si="7"/>
        <v>380230.92</v>
      </c>
      <c r="Q30" s="235">
        <f t="shared" si="8"/>
        <v>7.04</v>
      </c>
      <c r="R30" s="322">
        <f t="shared" si="9"/>
        <v>35.11</v>
      </c>
      <c r="S30" s="457"/>
      <c r="T30" s="457"/>
      <c r="U30" s="458"/>
      <c r="V30" s="459"/>
    </row>
    <row r="31" spans="1:33" s="460" customFormat="1" ht="13.8">
      <c r="A31" s="448">
        <v>14</v>
      </c>
      <c r="B31" s="219" t="s">
        <v>36</v>
      </c>
      <c r="C31" s="218" t="s">
        <v>46</v>
      </c>
      <c r="D31" s="217">
        <v>15.35</v>
      </c>
      <c r="E31" s="217">
        <v>108768.82</v>
      </c>
      <c r="F31" s="216">
        <v>1669601.39</v>
      </c>
      <c r="G31" s="320">
        <v>0</v>
      </c>
      <c r="H31" s="238">
        <v>108768.82</v>
      </c>
      <c r="I31" s="238">
        <v>1669601.39</v>
      </c>
      <c r="J31" s="237"/>
      <c r="K31" s="238">
        <v>24900.1</v>
      </c>
      <c r="L31" s="235">
        <v>382216.53</v>
      </c>
      <c r="M31" s="235">
        <v>4551.26</v>
      </c>
      <c r="N31" s="235">
        <f t="shared" si="6"/>
        <v>69861.84</v>
      </c>
      <c r="O31" s="321">
        <f t="shared" si="1"/>
        <v>29451.360000000001</v>
      </c>
      <c r="P31" s="321">
        <f t="shared" si="7"/>
        <v>452078.37</v>
      </c>
      <c r="Q31" s="235">
        <f t="shared" si="8"/>
        <v>4.18</v>
      </c>
      <c r="R31" s="322">
        <f t="shared" si="9"/>
        <v>27.08</v>
      </c>
      <c r="S31" s="457"/>
      <c r="T31" s="457"/>
      <c r="U31" s="458"/>
      <c r="V31" s="459"/>
    </row>
    <row r="32" spans="1:33" s="460" customFormat="1" ht="13.8">
      <c r="A32" s="448">
        <v>15</v>
      </c>
      <c r="B32" s="219" t="s">
        <v>37</v>
      </c>
      <c r="C32" s="218" t="s">
        <v>10</v>
      </c>
      <c r="D32" s="217">
        <v>79.53</v>
      </c>
      <c r="E32" s="217">
        <v>74.010000000000005</v>
      </c>
      <c r="F32" s="216">
        <v>5886.02</v>
      </c>
      <c r="G32" s="320">
        <v>-34.26</v>
      </c>
      <c r="H32" s="238">
        <v>39.75</v>
      </c>
      <c r="I32" s="238">
        <v>3161.32</v>
      </c>
      <c r="J32" s="237"/>
      <c r="K32" s="238">
        <v>18.28</v>
      </c>
      <c r="L32" s="235">
        <v>1453.82</v>
      </c>
      <c r="M32" s="235"/>
      <c r="N32" s="235">
        <f t="shared" si="6"/>
        <v>0</v>
      </c>
      <c r="O32" s="321">
        <f t="shared" si="1"/>
        <v>18.28</v>
      </c>
      <c r="P32" s="321">
        <f t="shared" si="7"/>
        <v>1453.82</v>
      </c>
      <c r="Q32" s="235">
        <f t="shared" si="8"/>
        <v>0</v>
      </c>
      <c r="R32" s="322">
        <f t="shared" si="9"/>
        <v>45.99</v>
      </c>
      <c r="S32" s="457"/>
      <c r="T32" s="457"/>
      <c r="U32" s="458"/>
      <c r="V32" s="459"/>
    </row>
    <row r="33" spans="1:22" s="460" customFormat="1" ht="13.8">
      <c r="A33" s="448">
        <v>16</v>
      </c>
      <c r="B33" s="219" t="s">
        <v>38</v>
      </c>
      <c r="C33" s="218" t="s">
        <v>10</v>
      </c>
      <c r="D33" s="217">
        <v>59.3</v>
      </c>
      <c r="E33" s="217">
        <v>30077.59</v>
      </c>
      <c r="F33" s="216">
        <v>1783601.09</v>
      </c>
      <c r="G33" s="320">
        <v>-24444.22</v>
      </c>
      <c r="H33" s="238">
        <v>5633.37</v>
      </c>
      <c r="I33" s="238">
        <v>334058.84000000003</v>
      </c>
      <c r="J33" s="237"/>
      <c r="K33" s="238">
        <v>4155.08</v>
      </c>
      <c r="L33" s="235">
        <v>246396.25</v>
      </c>
      <c r="M33" s="235">
        <v>188.19</v>
      </c>
      <c r="N33" s="235">
        <f t="shared" si="6"/>
        <v>11159.67</v>
      </c>
      <c r="O33" s="321">
        <f t="shared" si="1"/>
        <v>4343.2700000000004</v>
      </c>
      <c r="P33" s="321">
        <f t="shared" si="7"/>
        <v>257555.92</v>
      </c>
      <c r="Q33" s="235">
        <f t="shared" si="8"/>
        <v>3.34</v>
      </c>
      <c r="R33" s="322">
        <f t="shared" si="9"/>
        <v>77.099999999999994</v>
      </c>
      <c r="S33" s="457"/>
      <c r="T33" s="457"/>
      <c r="U33" s="458"/>
      <c r="V33" s="459"/>
    </row>
    <row r="34" spans="1:22" s="460" customFormat="1" ht="13.8">
      <c r="A34" s="448">
        <v>17</v>
      </c>
      <c r="B34" s="219" t="s">
        <v>39</v>
      </c>
      <c r="C34" s="218" t="s">
        <v>25</v>
      </c>
      <c r="D34" s="217">
        <v>213.4</v>
      </c>
      <c r="E34" s="217">
        <v>384.62</v>
      </c>
      <c r="F34" s="216">
        <v>82077.91</v>
      </c>
      <c r="G34" s="320">
        <v>0</v>
      </c>
      <c r="H34" s="238">
        <v>384.62</v>
      </c>
      <c r="I34" s="238">
        <v>82077.91</v>
      </c>
      <c r="J34" s="237"/>
      <c r="K34" s="320">
        <v>267</v>
      </c>
      <c r="L34" s="235">
        <v>56977.8</v>
      </c>
      <c r="M34" s="235"/>
      <c r="N34" s="235">
        <f t="shared" si="6"/>
        <v>0</v>
      </c>
      <c r="O34" s="321">
        <f t="shared" si="1"/>
        <v>267</v>
      </c>
      <c r="P34" s="321">
        <f t="shared" si="7"/>
        <v>56977.8</v>
      </c>
      <c r="Q34" s="235">
        <f t="shared" si="8"/>
        <v>0</v>
      </c>
      <c r="R34" s="322">
        <f t="shared" si="9"/>
        <v>69.42</v>
      </c>
      <c r="S34" s="457"/>
      <c r="T34" s="457"/>
      <c r="U34" s="458"/>
      <c r="V34" s="459"/>
    </row>
    <row r="35" spans="1:22" ht="13.8">
      <c r="A35" s="448">
        <v>18</v>
      </c>
      <c r="B35" s="219" t="s">
        <v>40</v>
      </c>
      <c r="C35" s="218" t="s">
        <v>25</v>
      </c>
      <c r="D35" s="217">
        <v>127.61</v>
      </c>
      <c r="E35" s="217">
        <v>795</v>
      </c>
      <c r="F35" s="216">
        <v>101449.95</v>
      </c>
      <c r="G35" s="320">
        <v>0</v>
      </c>
      <c r="H35" s="238">
        <v>795</v>
      </c>
      <c r="I35" s="238">
        <v>101449.95</v>
      </c>
      <c r="J35" s="237"/>
      <c r="K35" s="236"/>
      <c r="L35" s="235">
        <v>0</v>
      </c>
      <c r="M35" s="235"/>
      <c r="N35" s="235">
        <f t="shared" si="6"/>
        <v>0</v>
      </c>
      <c r="O35" s="235"/>
      <c r="P35" s="321">
        <f t="shared" si="7"/>
        <v>0</v>
      </c>
      <c r="Q35" s="235">
        <f t="shared" si="8"/>
        <v>0</v>
      </c>
      <c r="R35" s="322">
        <f t="shared" si="9"/>
        <v>0</v>
      </c>
      <c r="S35" s="461"/>
      <c r="T35" s="254"/>
      <c r="V35" s="445"/>
    </row>
    <row r="36" spans="1:22" ht="13.8">
      <c r="A36" s="448">
        <v>19</v>
      </c>
      <c r="B36" s="219" t="s">
        <v>41</v>
      </c>
      <c r="C36" s="218" t="s">
        <v>10</v>
      </c>
      <c r="D36" s="217">
        <v>474.36</v>
      </c>
      <c r="E36" s="217">
        <v>1717</v>
      </c>
      <c r="F36" s="216">
        <v>814476.12</v>
      </c>
      <c r="G36" s="320">
        <v>-717</v>
      </c>
      <c r="H36" s="238">
        <v>1000</v>
      </c>
      <c r="I36" s="238">
        <v>474360</v>
      </c>
      <c r="J36" s="237"/>
      <c r="K36" s="238">
        <v>497.5</v>
      </c>
      <c r="L36" s="235">
        <v>235994.1</v>
      </c>
      <c r="M36" s="235">
        <v>205</v>
      </c>
      <c r="N36" s="235">
        <f t="shared" si="6"/>
        <v>97243.8</v>
      </c>
      <c r="O36" s="235">
        <f>IF(M36+K36=0,"",M36+K36)</f>
        <v>702.5</v>
      </c>
      <c r="P36" s="321">
        <f t="shared" si="7"/>
        <v>333237.90000000002</v>
      </c>
      <c r="Q36" s="235">
        <f t="shared" si="8"/>
        <v>20.5</v>
      </c>
      <c r="R36" s="322">
        <f t="shared" si="9"/>
        <v>70.25</v>
      </c>
      <c r="S36" s="461"/>
      <c r="T36" s="254"/>
      <c r="V36" s="445"/>
    </row>
    <row r="37" spans="1:22" s="460" customFormat="1" ht="13.8">
      <c r="A37" s="448">
        <v>20</v>
      </c>
      <c r="B37" s="219" t="s">
        <v>42</v>
      </c>
      <c r="C37" s="218" t="s">
        <v>47</v>
      </c>
      <c r="D37" s="217">
        <v>111.72</v>
      </c>
      <c r="E37" s="217">
        <v>18000</v>
      </c>
      <c r="F37" s="216">
        <v>2010960</v>
      </c>
      <c r="G37" s="320">
        <v>-10989.12</v>
      </c>
      <c r="H37" s="345">
        <v>7010.8841000000002</v>
      </c>
      <c r="I37" s="238">
        <v>783255.97</v>
      </c>
      <c r="J37" s="237"/>
      <c r="K37" s="236">
        <v>130</v>
      </c>
      <c r="L37" s="235">
        <v>14523.6</v>
      </c>
      <c r="M37" s="235">
        <v>2719.5</v>
      </c>
      <c r="N37" s="235">
        <f t="shared" si="6"/>
        <v>303822.53999999998</v>
      </c>
      <c r="O37" s="235">
        <f>IF(M37+K37=0,"",M37+K37)</f>
        <v>2849.5</v>
      </c>
      <c r="P37" s="321">
        <f t="shared" si="7"/>
        <v>318346.14</v>
      </c>
      <c r="Q37" s="235">
        <f t="shared" si="8"/>
        <v>38.79</v>
      </c>
      <c r="R37" s="322">
        <f t="shared" si="9"/>
        <v>40.64</v>
      </c>
      <c r="S37" s="462"/>
      <c r="T37" s="457"/>
      <c r="U37" s="458"/>
      <c r="V37" s="459"/>
    </row>
    <row r="38" spans="1:22" s="460" customFormat="1" ht="13.8">
      <c r="A38" s="448">
        <v>21</v>
      </c>
      <c r="B38" s="219" t="s">
        <v>43</v>
      </c>
      <c r="C38" s="218" t="s">
        <v>47</v>
      </c>
      <c r="D38" s="217">
        <v>1596.02</v>
      </c>
      <c r="E38" s="217">
        <v>343.55</v>
      </c>
      <c r="F38" s="216">
        <v>548312.67000000004</v>
      </c>
      <c r="G38" s="320">
        <v>0</v>
      </c>
      <c r="H38" s="238">
        <v>343.55</v>
      </c>
      <c r="I38" s="238">
        <v>548312.67000000004</v>
      </c>
      <c r="J38" s="237"/>
      <c r="K38" s="236">
        <v>161</v>
      </c>
      <c r="L38" s="235">
        <v>256959.22</v>
      </c>
      <c r="M38" s="235"/>
      <c r="N38" s="235">
        <f t="shared" si="6"/>
        <v>0</v>
      </c>
      <c r="O38" s="235">
        <f>IF(M38+K38=0,"",M38+K38)</f>
        <v>161</v>
      </c>
      <c r="P38" s="321">
        <f t="shared" si="7"/>
        <v>256959.22</v>
      </c>
      <c r="Q38" s="235">
        <f t="shared" si="8"/>
        <v>0</v>
      </c>
      <c r="R38" s="322">
        <f t="shared" si="9"/>
        <v>46.86</v>
      </c>
      <c r="S38" s="462"/>
      <c r="T38" s="457"/>
      <c r="U38" s="458"/>
      <c r="V38" s="459"/>
    </row>
    <row r="39" spans="1:22" ht="13.8">
      <c r="A39" s="448">
        <v>22</v>
      </c>
      <c r="B39" s="219" t="s">
        <v>44</v>
      </c>
      <c r="C39" s="218" t="s">
        <v>10</v>
      </c>
      <c r="D39" s="217">
        <v>638.48</v>
      </c>
      <c r="E39" s="217">
        <v>70.819999999999993</v>
      </c>
      <c r="F39" s="216">
        <v>45217.15</v>
      </c>
      <c r="G39" s="320">
        <v>0</v>
      </c>
      <c r="H39" s="238">
        <v>70.819999999999993</v>
      </c>
      <c r="I39" s="238">
        <v>45217.15</v>
      </c>
      <c r="J39" s="237"/>
      <c r="K39" s="236"/>
      <c r="L39" s="235">
        <v>0</v>
      </c>
      <c r="M39" s="235"/>
      <c r="N39" s="235">
        <f t="shared" si="6"/>
        <v>0</v>
      </c>
      <c r="O39" s="235"/>
      <c r="P39" s="321">
        <f t="shared" si="7"/>
        <v>0</v>
      </c>
      <c r="Q39" s="235">
        <f t="shared" si="8"/>
        <v>0</v>
      </c>
      <c r="R39" s="322">
        <f t="shared" si="9"/>
        <v>0</v>
      </c>
      <c r="S39" s="461"/>
      <c r="T39" s="254"/>
      <c r="V39" s="445"/>
    </row>
    <row r="40" spans="1:22" ht="13.8">
      <c r="A40" s="453">
        <v>23</v>
      </c>
      <c r="B40" s="215" t="s">
        <v>45</v>
      </c>
      <c r="C40" s="214" t="s">
        <v>47</v>
      </c>
      <c r="D40" s="213">
        <v>44.35</v>
      </c>
      <c r="E40" s="213">
        <v>2726.08</v>
      </c>
      <c r="F40" s="212">
        <v>120901.65</v>
      </c>
      <c r="G40" s="324">
        <v>0</v>
      </c>
      <c r="H40" s="325">
        <v>2726.08</v>
      </c>
      <c r="I40" s="325">
        <v>120901.65</v>
      </c>
      <c r="J40" s="326"/>
      <c r="K40" s="331"/>
      <c r="L40" s="328">
        <v>0</v>
      </c>
      <c r="M40" s="328"/>
      <c r="N40" s="328">
        <f t="shared" si="6"/>
        <v>0</v>
      </c>
      <c r="O40" s="328"/>
      <c r="P40" s="327">
        <f t="shared" si="7"/>
        <v>0</v>
      </c>
      <c r="Q40" s="328">
        <f t="shared" si="8"/>
        <v>0</v>
      </c>
      <c r="R40" s="329">
        <f t="shared" si="9"/>
        <v>0</v>
      </c>
      <c r="S40" s="461"/>
      <c r="T40" s="254"/>
      <c r="V40" s="445"/>
    </row>
    <row r="41" spans="1:22" ht="13.8">
      <c r="A41" s="441"/>
      <c r="B41" s="442" t="s">
        <v>48</v>
      </c>
      <c r="C41" s="227"/>
      <c r="D41" s="226"/>
      <c r="E41" s="226"/>
      <c r="F41" s="225"/>
      <c r="G41" s="226"/>
      <c r="H41" s="225"/>
      <c r="I41" s="225"/>
      <c r="J41" s="224"/>
      <c r="K41" s="223"/>
      <c r="L41" s="221"/>
      <c r="M41" s="221"/>
      <c r="N41" s="221"/>
      <c r="O41" s="221"/>
      <c r="P41" s="222"/>
      <c r="Q41" s="221"/>
      <c r="R41" s="220"/>
      <c r="S41" s="445"/>
      <c r="T41" s="254"/>
      <c r="V41" s="445"/>
    </row>
    <row r="42" spans="1:22" ht="13.8">
      <c r="A42" s="444">
        <v>24</v>
      </c>
      <c r="B42" s="241" t="s">
        <v>17</v>
      </c>
      <c r="C42" s="234" t="s">
        <v>18</v>
      </c>
      <c r="D42" s="233">
        <v>47860.38</v>
      </c>
      <c r="E42" s="233">
        <v>1</v>
      </c>
      <c r="F42" s="240">
        <v>47860.38</v>
      </c>
      <c r="G42" s="314">
        <v>0</v>
      </c>
      <c r="H42" s="315">
        <v>1</v>
      </c>
      <c r="I42" s="315">
        <v>47860.38</v>
      </c>
      <c r="J42" s="330"/>
      <c r="K42" s="315">
        <v>1</v>
      </c>
      <c r="L42" s="317">
        <v>47860.38</v>
      </c>
      <c r="M42" s="317"/>
      <c r="N42" s="317">
        <f t="shared" ref="N42:N55" si="10">ROUND(M42*D42,2)</f>
        <v>0</v>
      </c>
      <c r="O42" s="317">
        <f t="shared" ref="O42:O55" si="11">IF(M42+K42=0,"",M42+K42)</f>
        <v>1</v>
      </c>
      <c r="P42" s="318">
        <f t="shared" ref="P42:P55" si="12">L42+N42</f>
        <v>47860.38</v>
      </c>
      <c r="Q42" s="317">
        <f t="shared" ref="Q42:Q55" si="13">IF(ISERROR(N42/I42),"",ROUND(N42/I42*100,2))</f>
        <v>0</v>
      </c>
      <c r="R42" s="319">
        <f t="shared" ref="R42:R55" si="14">IF(ISERROR(P42/I42),"",ROUND(P42/I42*100,2))</f>
        <v>100</v>
      </c>
      <c r="S42" s="445"/>
      <c r="T42" s="254"/>
    </row>
    <row r="43" spans="1:22" ht="13.8">
      <c r="A43" s="448">
        <v>25</v>
      </c>
      <c r="B43" s="219" t="s">
        <v>32</v>
      </c>
      <c r="C43" s="218" t="s">
        <v>18</v>
      </c>
      <c r="D43" s="217">
        <v>3848.37</v>
      </c>
      <c r="E43" s="217">
        <v>1</v>
      </c>
      <c r="F43" s="216">
        <v>3848.37</v>
      </c>
      <c r="G43" s="320">
        <v>0</v>
      </c>
      <c r="H43" s="238">
        <v>1</v>
      </c>
      <c r="I43" s="238">
        <v>3848.37</v>
      </c>
      <c r="J43" s="237"/>
      <c r="K43" s="238">
        <v>1</v>
      </c>
      <c r="L43" s="235">
        <v>3848.37</v>
      </c>
      <c r="M43" s="235"/>
      <c r="N43" s="235">
        <f t="shared" si="10"/>
        <v>0</v>
      </c>
      <c r="O43" s="235">
        <f t="shared" si="11"/>
        <v>1</v>
      </c>
      <c r="P43" s="321">
        <f t="shared" si="12"/>
        <v>3848.37</v>
      </c>
      <c r="Q43" s="235">
        <f t="shared" si="13"/>
        <v>0</v>
      </c>
      <c r="R43" s="322">
        <f t="shared" si="14"/>
        <v>100</v>
      </c>
      <c r="S43" s="445"/>
      <c r="T43" s="254"/>
    </row>
    <row r="44" spans="1:22" s="452" customFormat="1" ht="13.8">
      <c r="A44" s="448">
        <v>26</v>
      </c>
      <c r="B44" s="219" t="s">
        <v>49</v>
      </c>
      <c r="C44" s="218" t="s">
        <v>10</v>
      </c>
      <c r="D44" s="217">
        <v>27.03</v>
      </c>
      <c r="E44" s="217">
        <v>797</v>
      </c>
      <c r="F44" s="216">
        <v>21542.91</v>
      </c>
      <c r="G44" s="320">
        <v>295.10000000000002</v>
      </c>
      <c r="H44" s="238">
        <v>1092.0999999999999</v>
      </c>
      <c r="I44" s="238">
        <v>29519.46</v>
      </c>
      <c r="J44" s="237"/>
      <c r="K44" s="236">
        <v>1005.2</v>
      </c>
      <c r="L44" s="235">
        <v>27170.560000000001</v>
      </c>
      <c r="M44" s="235"/>
      <c r="N44" s="235">
        <f t="shared" si="10"/>
        <v>0</v>
      </c>
      <c r="O44" s="235">
        <f t="shared" si="11"/>
        <v>1005.2</v>
      </c>
      <c r="P44" s="321">
        <f t="shared" si="12"/>
        <v>27170.560000000001</v>
      </c>
      <c r="Q44" s="235">
        <f t="shared" si="13"/>
        <v>0</v>
      </c>
      <c r="R44" s="322">
        <f t="shared" si="14"/>
        <v>92.04</v>
      </c>
      <c r="S44" s="450"/>
      <c r="T44" s="449"/>
      <c r="U44" s="455"/>
    </row>
    <row r="45" spans="1:22" s="452" customFormat="1" ht="13.8">
      <c r="A45" s="448">
        <v>27</v>
      </c>
      <c r="B45" s="219" t="s">
        <v>35</v>
      </c>
      <c r="C45" s="218" t="s">
        <v>10</v>
      </c>
      <c r="D45" s="217">
        <v>1801.53</v>
      </c>
      <c r="E45" s="217">
        <v>486.72</v>
      </c>
      <c r="F45" s="216">
        <v>876840.68</v>
      </c>
      <c r="G45" s="320">
        <v>150.13999999999999</v>
      </c>
      <c r="H45" s="238">
        <v>636.86</v>
      </c>
      <c r="I45" s="238">
        <v>1147322.3999999999</v>
      </c>
      <c r="J45" s="237"/>
      <c r="K45" s="236">
        <v>480.13</v>
      </c>
      <c r="L45" s="235">
        <v>864968.6</v>
      </c>
      <c r="M45" s="235">
        <v>81.72</v>
      </c>
      <c r="N45" s="235">
        <f t="shared" si="10"/>
        <v>147221.03</v>
      </c>
      <c r="O45" s="235">
        <f t="shared" si="11"/>
        <v>561.85</v>
      </c>
      <c r="P45" s="321">
        <f t="shared" si="12"/>
        <v>1012189.63</v>
      </c>
      <c r="Q45" s="235">
        <f t="shared" si="13"/>
        <v>12.83</v>
      </c>
      <c r="R45" s="322">
        <f t="shared" si="14"/>
        <v>88.22</v>
      </c>
      <c r="S45" s="450"/>
      <c r="T45" s="449"/>
      <c r="U45" s="455"/>
    </row>
    <row r="46" spans="1:22" s="452" customFormat="1" ht="13.8">
      <c r="A46" s="448">
        <v>28</v>
      </c>
      <c r="B46" s="219" t="s">
        <v>36</v>
      </c>
      <c r="C46" s="218" t="s">
        <v>46</v>
      </c>
      <c r="D46" s="217">
        <v>15.35</v>
      </c>
      <c r="E46" s="217">
        <v>31927.89</v>
      </c>
      <c r="F46" s="216">
        <v>490093.11</v>
      </c>
      <c r="G46" s="320">
        <v>-984.49</v>
      </c>
      <c r="H46" s="238">
        <v>30943.4</v>
      </c>
      <c r="I46" s="238">
        <v>474981.19</v>
      </c>
      <c r="J46" s="237"/>
      <c r="K46" s="238">
        <v>21627.96</v>
      </c>
      <c r="L46" s="235">
        <v>331989.19</v>
      </c>
      <c r="M46" s="235">
        <v>7634.9</v>
      </c>
      <c r="N46" s="235">
        <f t="shared" si="10"/>
        <v>117195.72</v>
      </c>
      <c r="O46" s="235">
        <f t="shared" si="11"/>
        <v>29262.86</v>
      </c>
      <c r="P46" s="321">
        <f t="shared" si="12"/>
        <v>449184.91</v>
      </c>
      <c r="Q46" s="235">
        <f t="shared" si="13"/>
        <v>24.67</v>
      </c>
      <c r="R46" s="322">
        <f t="shared" si="14"/>
        <v>94.57</v>
      </c>
      <c r="S46" s="450"/>
      <c r="T46" s="449"/>
      <c r="U46" s="455"/>
    </row>
    <row r="47" spans="1:22" ht="13.8">
      <c r="A47" s="448">
        <v>29</v>
      </c>
      <c r="B47" s="219" t="s">
        <v>50</v>
      </c>
      <c r="C47" s="218" t="s">
        <v>47</v>
      </c>
      <c r="D47" s="217">
        <v>3943.09</v>
      </c>
      <c r="E47" s="217">
        <v>105</v>
      </c>
      <c r="F47" s="216">
        <v>414024.45</v>
      </c>
      <c r="G47" s="320">
        <v>35</v>
      </c>
      <c r="H47" s="238">
        <v>140</v>
      </c>
      <c r="I47" s="238">
        <v>552032.6</v>
      </c>
      <c r="J47" s="237"/>
      <c r="K47" s="238">
        <v>140</v>
      </c>
      <c r="L47" s="235">
        <v>552032.6</v>
      </c>
      <c r="M47" s="235"/>
      <c r="N47" s="235">
        <f t="shared" si="10"/>
        <v>0</v>
      </c>
      <c r="O47" s="235">
        <f t="shared" si="11"/>
        <v>140</v>
      </c>
      <c r="P47" s="321">
        <f t="shared" si="12"/>
        <v>552032.6</v>
      </c>
      <c r="Q47" s="235">
        <f t="shared" si="13"/>
        <v>0</v>
      </c>
      <c r="R47" s="322">
        <f t="shared" si="14"/>
        <v>100</v>
      </c>
      <c r="S47" s="445"/>
      <c r="T47" s="254"/>
    </row>
    <row r="48" spans="1:22" ht="13.8">
      <c r="A48" s="448">
        <v>30</v>
      </c>
      <c r="B48" s="219" t="s">
        <v>51</v>
      </c>
      <c r="C48" s="218" t="s">
        <v>58</v>
      </c>
      <c r="D48" s="217">
        <v>403.4</v>
      </c>
      <c r="E48" s="217">
        <v>48</v>
      </c>
      <c r="F48" s="216">
        <v>19363.2</v>
      </c>
      <c r="G48" s="320">
        <v>16</v>
      </c>
      <c r="H48" s="238">
        <v>64</v>
      </c>
      <c r="I48" s="238">
        <v>25817.599999999999</v>
      </c>
      <c r="J48" s="237"/>
      <c r="K48" s="238"/>
      <c r="L48" s="235">
        <v>0</v>
      </c>
      <c r="M48" s="235">
        <v>60</v>
      </c>
      <c r="N48" s="235">
        <f t="shared" si="10"/>
        <v>24204</v>
      </c>
      <c r="O48" s="235">
        <f t="shared" si="11"/>
        <v>60</v>
      </c>
      <c r="P48" s="321">
        <f t="shared" si="12"/>
        <v>24204</v>
      </c>
      <c r="Q48" s="235">
        <f t="shared" si="13"/>
        <v>93.75</v>
      </c>
      <c r="R48" s="322">
        <f t="shared" si="14"/>
        <v>93.75</v>
      </c>
      <c r="S48" s="445"/>
      <c r="T48" s="254"/>
    </row>
    <row r="49" spans="1:21" ht="13.8">
      <c r="A49" s="448">
        <v>31</v>
      </c>
      <c r="B49" s="219" t="s">
        <v>52</v>
      </c>
      <c r="C49" s="218" t="s">
        <v>18</v>
      </c>
      <c r="D49" s="217">
        <v>45986.77</v>
      </c>
      <c r="E49" s="217">
        <v>0.65</v>
      </c>
      <c r="F49" s="216">
        <v>29891.4</v>
      </c>
      <c r="G49" s="320">
        <v>0.22</v>
      </c>
      <c r="H49" s="238">
        <v>0.87</v>
      </c>
      <c r="I49" s="238">
        <v>40008.49</v>
      </c>
      <c r="J49" s="237"/>
      <c r="K49" s="238"/>
      <c r="L49" s="235">
        <v>0</v>
      </c>
      <c r="M49" s="235">
        <v>0.5</v>
      </c>
      <c r="N49" s="235">
        <f t="shared" si="10"/>
        <v>22993.39</v>
      </c>
      <c r="O49" s="235">
        <f t="shared" si="11"/>
        <v>0.5</v>
      </c>
      <c r="P49" s="321">
        <f t="shared" si="12"/>
        <v>22993.39</v>
      </c>
      <c r="Q49" s="235">
        <f t="shared" si="13"/>
        <v>57.47</v>
      </c>
      <c r="R49" s="322">
        <f t="shared" si="14"/>
        <v>57.47</v>
      </c>
      <c r="S49" s="445"/>
      <c r="T49" s="254"/>
    </row>
    <row r="50" spans="1:21" ht="13.8">
      <c r="A50" s="448">
        <v>32</v>
      </c>
      <c r="B50" s="219" t="s">
        <v>53</v>
      </c>
      <c r="C50" s="218" t="s">
        <v>47</v>
      </c>
      <c r="D50" s="217">
        <v>825.66</v>
      </c>
      <c r="E50" s="217">
        <v>18.2</v>
      </c>
      <c r="F50" s="216">
        <v>15027.01</v>
      </c>
      <c r="G50" s="320">
        <v>0</v>
      </c>
      <c r="H50" s="238">
        <v>18.2</v>
      </c>
      <c r="I50" s="238">
        <v>15027.01</v>
      </c>
      <c r="J50" s="237"/>
      <c r="K50" s="238"/>
      <c r="L50" s="235">
        <v>0</v>
      </c>
      <c r="M50" s="235">
        <v>15</v>
      </c>
      <c r="N50" s="235">
        <f t="shared" si="10"/>
        <v>12384.9</v>
      </c>
      <c r="O50" s="235">
        <f t="shared" si="11"/>
        <v>15</v>
      </c>
      <c r="P50" s="321">
        <f t="shared" si="12"/>
        <v>12384.9</v>
      </c>
      <c r="Q50" s="235">
        <f t="shared" si="13"/>
        <v>82.42</v>
      </c>
      <c r="R50" s="322">
        <f t="shared" si="14"/>
        <v>82.42</v>
      </c>
      <c r="S50" s="445"/>
      <c r="T50" s="254"/>
    </row>
    <row r="51" spans="1:21" ht="13.8">
      <c r="A51" s="448">
        <v>33</v>
      </c>
      <c r="B51" s="219" t="s">
        <v>54</v>
      </c>
      <c r="C51" s="218" t="s">
        <v>47</v>
      </c>
      <c r="D51" s="217">
        <v>83.48</v>
      </c>
      <c r="E51" s="217">
        <v>47.3</v>
      </c>
      <c r="F51" s="216">
        <v>3948.6</v>
      </c>
      <c r="G51" s="320">
        <v>0</v>
      </c>
      <c r="H51" s="238">
        <v>47.3</v>
      </c>
      <c r="I51" s="238">
        <v>3948.6</v>
      </c>
      <c r="J51" s="237"/>
      <c r="K51" s="238"/>
      <c r="L51" s="235">
        <v>0</v>
      </c>
      <c r="M51" s="235">
        <v>14.4</v>
      </c>
      <c r="N51" s="235">
        <f t="shared" si="10"/>
        <v>1202.1099999999999</v>
      </c>
      <c r="O51" s="235">
        <f t="shared" si="11"/>
        <v>14.4</v>
      </c>
      <c r="P51" s="321">
        <f t="shared" si="12"/>
        <v>1202.1099999999999</v>
      </c>
      <c r="Q51" s="235">
        <f t="shared" si="13"/>
        <v>30.44</v>
      </c>
      <c r="R51" s="322">
        <f t="shared" si="14"/>
        <v>30.44</v>
      </c>
      <c r="S51" s="445"/>
      <c r="T51" s="254"/>
    </row>
    <row r="52" spans="1:21" ht="13.8">
      <c r="A52" s="448">
        <v>34</v>
      </c>
      <c r="B52" s="219" t="s">
        <v>55</v>
      </c>
      <c r="C52" s="218" t="s">
        <v>10</v>
      </c>
      <c r="D52" s="217">
        <v>150.47999999999999</v>
      </c>
      <c r="E52" s="217">
        <v>106.76</v>
      </c>
      <c r="F52" s="216">
        <v>16065.24</v>
      </c>
      <c r="G52" s="320">
        <v>34.57</v>
      </c>
      <c r="H52" s="238">
        <v>141.33000000000001</v>
      </c>
      <c r="I52" s="238">
        <v>21267.34</v>
      </c>
      <c r="J52" s="237"/>
      <c r="K52" s="238">
        <v>141.33000000000001</v>
      </c>
      <c r="L52" s="235">
        <v>21267.34</v>
      </c>
      <c r="M52" s="235"/>
      <c r="N52" s="235">
        <f t="shared" si="10"/>
        <v>0</v>
      </c>
      <c r="O52" s="235">
        <f t="shared" si="11"/>
        <v>141.33000000000001</v>
      </c>
      <c r="P52" s="321">
        <f t="shared" si="12"/>
        <v>21267.34</v>
      </c>
      <c r="Q52" s="235">
        <f t="shared" si="13"/>
        <v>0</v>
      </c>
      <c r="R52" s="322">
        <f t="shared" si="14"/>
        <v>100</v>
      </c>
      <c r="S52" s="445"/>
      <c r="T52" s="254"/>
    </row>
    <row r="53" spans="1:21" s="452" customFormat="1" ht="13.8">
      <c r="A53" s="448">
        <v>35</v>
      </c>
      <c r="B53" s="219" t="s">
        <v>44</v>
      </c>
      <c r="C53" s="218" t="s">
        <v>10</v>
      </c>
      <c r="D53" s="217">
        <v>638.48</v>
      </c>
      <c r="E53" s="217">
        <v>20.6</v>
      </c>
      <c r="F53" s="216">
        <v>13152.69</v>
      </c>
      <c r="G53" s="320">
        <v>2.64</v>
      </c>
      <c r="H53" s="238">
        <v>23.24</v>
      </c>
      <c r="I53" s="238">
        <v>14838.28</v>
      </c>
      <c r="J53" s="237"/>
      <c r="K53" s="238">
        <v>23.24</v>
      </c>
      <c r="L53" s="235">
        <v>14838.28</v>
      </c>
      <c r="M53" s="235"/>
      <c r="N53" s="235">
        <f t="shared" si="10"/>
        <v>0</v>
      </c>
      <c r="O53" s="235">
        <f t="shared" si="11"/>
        <v>23.24</v>
      </c>
      <c r="P53" s="321">
        <f t="shared" si="12"/>
        <v>14838.28</v>
      </c>
      <c r="Q53" s="235">
        <f t="shared" si="13"/>
        <v>0</v>
      </c>
      <c r="R53" s="322">
        <f t="shared" si="14"/>
        <v>100</v>
      </c>
      <c r="S53" s="450"/>
      <c r="T53" s="449"/>
      <c r="U53" s="455"/>
    </row>
    <row r="54" spans="1:21" ht="13.8">
      <c r="A54" s="448">
        <v>36</v>
      </c>
      <c r="B54" s="219" t="s">
        <v>56</v>
      </c>
      <c r="C54" s="218" t="s">
        <v>10</v>
      </c>
      <c r="D54" s="217">
        <v>573.79</v>
      </c>
      <c r="E54" s="217">
        <v>476</v>
      </c>
      <c r="F54" s="216">
        <v>273124.03999999998</v>
      </c>
      <c r="G54" s="320">
        <v>-476</v>
      </c>
      <c r="H54" s="238">
        <v>0</v>
      </c>
      <c r="I54" s="238">
        <v>0</v>
      </c>
      <c r="J54" s="237"/>
      <c r="K54" s="238"/>
      <c r="L54" s="235">
        <v>0</v>
      </c>
      <c r="M54" s="235"/>
      <c r="N54" s="235">
        <f t="shared" si="10"/>
        <v>0</v>
      </c>
      <c r="O54" s="235" t="str">
        <f t="shared" si="11"/>
        <v/>
      </c>
      <c r="P54" s="321">
        <f t="shared" si="12"/>
        <v>0</v>
      </c>
      <c r="Q54" s="235" t="str">
        <f t="shared" si="13"/>
        <v/>
      </c>
      <c r="R54" s="322" t="str">
        <f t="shared" si="14"/>
        <v/>
      </c>
      <c r="S54" s="445"/>
      <c r="T54" s="254"/>
    </row>
    <row r="55" spans="1:21" ht="13.8">
      <c r="A55" s="453">
        <v>37</v>
      </c>
      <c r="B55" s="215" t="s">
        <v>57</v>
      </c>
      <c r="C55" s="214" t="s">
        <v>18</v>
      </c>
      <c r="D55" s="213">
        <v>4553.8599999999997</v>
      </c>
      <c r="E55" s="213">
        <v>1</v>
      </c>
      <c r="F55" s="243">
        <v>4553.8599999999997</v>
      </c>
      <c r="G55" s="324">
        <v>0</v>
      </c>
      <c r="H55" s="325">
        <v>1</v>
      </c>
      <c r="I55" s="325">
        <v>4553.8599999999997</v>
      </c>
      <c r="J55" s="326"/>
      <c r="K55" s="325"/>
      <c r="L55" s="328">
        <v>0</v>
      </c>
      <c r="M55" s="328"/>
      <c r="N55" s="328">
        <f t="shared" si="10"/>
        <v>0</v>
      </c>
      <c r="O55" s="328" t="str">
        <f t="shared" si="11"/>
        <v/>
      </c>
      <c r="P55" s="327">
        <f t="shared" si="12"/>
        <v>0</v>
      </c>
      <c r="Q55" s="328">
        <f t="shared" si="13"/>
        <v>0</v>
      </c>
      <c r="R55" s="329">
        <f t="shared" si="14"/>
        <v>0</v>
      </c>
      <c r="S55" s="445"/>
      <c r="T55" s="254"/>
    </row>
    <row r="56" spans="1:21" ht="13.8">
      <c r="A56" s="441"/>
      <c r="B56" s="442" t="s">
        <v>59</v>
      </c>
      <c r="C56" s="227"/>
      <c r="D56" s="242"/>
      <c r="E56" s="242"/>
      <c r="F56" s="225"/>
      <c r="G56" s="226"/>
      <c r="H56" s="225"/>
      <c r="I56" s="225"/>
      <c r="J56" s="224"/>
      <c r="K56" s="223"/>
      <c r="L56" s="221"/>
      <c r="M56" s="221"/>
      <c r="N56" s="221"/>
      <c r="O56" s="221"/>
      <c r="P56" s="222"/>
      <c r="Q56" s="221"/>
      <c r="R56" s="220"/>
      <c r="S56" s="445"/>
      <c r="T56" s="254"/>
    </row>
    <row r="57" spans="1:21" ht="13.8">
      <c r="A57" s="444">
        <v>38</v>
      </c>
      <c r="B57" s="241" t="s">
        <v>17</v>
      </c>
      <c r="C57" s="234" t="s">
        <v>18</v>
      </c>
      <c r="D57" s="233">
        <v>47860.38</v>
      </c>
      <c r="E57" s="233">
        <v>1</v>
      </c>
      <c r="F57" s="240">
        <v>47860.38</v>
      </c>
      <c r="G57" s="314">
        <v>0</v>
      </c>
      <c r="H57" s="315">
        <v>1</v>
      </c>
      <c r="I57" s="315">
        <v>47860.38</v>
      </c>
      <c r="J57" s="330"/>
      <c r="K57" s="315">
        <v>1</v>
      </c>
      <c r="L57" s="317">
        <v>47860.38</v>
      </c>
      <c r="M57" s="317"/>
      <c r="N57" s="317">
        <f t="shared" ref="N57:N68" si="15">ROUND(M57*D57,2)</f>
        <v>0</v>
      </c>
      <c r="O57" s="317">
        <f>IF(M57+K57=0,"",M57+K57)</f>
        <v>1</v>
      </c>
      <c r="P57" s="318">
        <f t="shared" ref="P57:P68" si="16">L57+N57</f>
        <v>47860.38</v>
      </c>
      <c r="Q57" s="317">
        <f t="shared" ref="Q57:Q68" si="17">IF(ISERROR(N57/I57),"",ROUND(N57/I57*100,2))</f>
        <v>0</v>
      </c>
      <c r="R57" s="319">
        <f t="shared" ref="R57:R68" si="18">IF(ISERROR(P57/I57),"",ROUND(P57/I57*100,2))</f>
        <v>100</v>
      </c>
      <c r="S57" s="445"/>
      <c r="T57" s="254"/>
    </row>
    <row r="58" spans="1:21" ht="13.8">
      <c r="A58" s="448">
        <v>39</v>
      </c>
      <c r="B58" s="219" t="s">
        <v>32</v>
      </c>
      <c r="C58" s="218" t="s">
        <v>18</v>
      </c>
      <c r="D58" s="217">
        <v>3848.37</v>
      </c>
      <c r="E58" s="217">
        <v>1</v>
      </c>
      <c r="F58" s="216">
        <v>3848.37</v>
      </c>
      <c r="G58" s="320">
        <v>0</v>
      </c>
      <c r="H58" s="238">
        <v>1</v>
      </c>
      <c r="I58" s="238">
        <v>3848.37</v>
      </c>
      <c r="J58" s="238"/>
      <c r="K58" s="238">
        <v>1</v>
      </c>
      <c r="L58" s="235">
        <v>3848.37</v>
      </c>
      <c r="M58" s="235"/>
      <c r="N58" s="235">
        <f t="shared" si="15"/>
        <v>0</v>
      </c>
      <c r="O58" s="235">
        <f>IF(M58+K58=0,"",M58+K58)</f>
        <v>1</v>
      </c>
      <c r="P58" s="321">
        <f t="shared" si="16"/>
        <v>3848.37</v>
      </c>
      <c r="Q58" s="235">
        <f t="shared" si="17"/>
        <v>0</v>
      </c>
      <c r="R58" s="322">
        <f t="shared" si="18"/>
        <v>100</v>
      </c>
      <c r="S58" s="445"/>
      <c r="T58" s="254"/>
    </row>
    <row r="59" spans="1:21" ht="13.8">
      <c r="A59" s="448">
        <v>40</v>
      </c>
      <c r="B59" s="219" t="s">
        <v>33</v>
      </c>
      <c r="C59" s="218" t="s">
        <v>10</v>
      </c>
      <c r="D59" s="217">
        <v>27.03</v>
      </c>
      <c r="E59" s="217">
        <v>421.23</v>
      </c>
      <c r="F59" s="216">
        <v>11385.85</v>
      </c>
      <c r="G59" s="320">
        <v>0</v>
      </c>
      <c r="H59" s="238">
        <v>421.23</v>
      </c>
      <c r="I59" s="238">
        <v>11385.85</v>
      </c>
      <c r="J59" s="238"/>
      <c r="K59" s="238">
        <v>0</v>
      </c>
      <c r="L59" s="235">
        <v>0</v>
      </c>
      <c r="M59" s="235"/>
      <c r="N59" s="235">
        <f t="shared" si="15"/>
        <v>0</v>
      </c>
      <c r="O59" s="235" t="str">
        <f>IF(M59+K59=0,"",M59+K59)</f>
        <v/>
      </c>
      <c r="P59" s="321">
        <f t="shared" si="16"/>
        <v>0</v>
      </c>
      <c r="Q59" s="235">
        <f t="shared" si="17"/>
        <v>0</v>
      </c>
      <c r="R59" s="322">
        <f t="shared" si="18"/>
        <v>0</v>
      </c>
      <c r="S59" s="445"/>
      <c r="T59" s="254"/>
    </row>
    <row r="60" spans="1:21" ht="13.8">
      <c r="A60" s="448">
        <v>41</v>
      </c>
      <c r="B60" s="219" t="s">
        <v>60</v>
      </c>
      <c r="C60" s="218" t="s">
        <v>10</v>
      </c>
      <c r="D60" s="217">
        <v>651.46</v>
      </c>
      <c r="E60" s="217">
        <v>379.8</v>
      </c>
      <c r="F60" s="216">
        <v>247424.51</v>
      </c>
      <c r="G60" s="320">
        <v>0</v>
      </c>
      <c r="H60" s="238">
        <v>379.8</v>
      </c>
      <c r="I60" s="238">
        <v>247424.51</v>
      </c>
      <c r="J60" s="238"/>
      <c r="K60" s="238">
        <v>0</v>
      </c>
      <c r="L60" s="235">
        <v>0</v>
      </c>
      <c r="M60" s="235"/>
      <c r="N60" s="235">
        <f t="shared" si="15"/>
        <v>0</v>
      </c>
      <c r="O60" s="235"/>
      <c r="P60" s="321">
        <f t="shared" si="16"/>
        <v>0</v>
      </c>
      <c r="Q60" s="235">
        <f t="shared" si="17"/>
        <v>0</v>
      </c>
      <c r="R60" s="322">
        <f t="shared" si="18"/>
        <v>0</v>
      </c>
      <c r="S60" s="445"/>
      <c r="T60" s="254"/>
    </row>
    <row r="61" spans="1:21" ht="13.8">
      <c r="A61" s="448">
        <v>42</v>
      </c>
      <c r="B61" s="3" t="s">
        <v>35</v>
      </c>
      <c r="C61" s="10" t="s">
        <v>10</v>
      </c>
      <c r="D61" s="11">
        <v>1801.53</v>
      </c>
      <c r="E61" s="12">
        <v>95.41</v>
      </c>
      <c r="F61" s="216">
        <v>171883.98</v>
      </c>
      <c r="G61" s="320">
        <v>0</v>
      </c>
      <c r="H61" s="238">
        <v>95.41</v>
      </c>
      <c r="I61" s="238">
        <v>171883.98</v>
      </c>
      <c r="J61" s="238"/>
      <c r="K61" s="238">
        <v>0</v>
      </c>
      <c r="L61" s="235">
        <v>0</v>
      </c>
      <c r="M61" s="235"/>
      <c r="N61" s="235">
        <f t="shared" si="15"/>
        <v>0</v>
      </c>
      <c r="O61" s="235"/>
      <c r="P61" s="321">
        <f t="shared" si="16"/>
        <v>0</v>
      </c>
      <c r="Q61" s="235">
        <f t="shared" si="17"/>
        <v>0</v>
      </c>
      <c r="R61" s="322">
        <f t="shared" si="18"/>
        <v>0</v>
      </c>
      <c r="S61" s="445"/>
      <c r="T61" s="254"/>
    </row>
    <row r="62" spans="1:21" ht="13.8">
      <c r="A62" s="448">
        <v>43</v>
      </c>
      <c r="B62" s="219" t="s">
        <v>36</v>
      </c>
      <c r="C62" s="218" t="s">
        <v>46</v>
      </c>
      <c r="D62" s="217">
        <v>15.35</v>
      </c>
      <c r="E62" s="217">
        <v>7046.94</v>
      </c>
      <c r="F62" s="216">
        <v>108170.53</v>
      </c>
      <c r="G62" s="320">
        <v>0</v>
      </c>
      <c r="H62" s="238">
        <v>7046.94</v>
      </c>
      <c r="I62" s="238">
        <v>108170.53</v>
      </c>
      <c r="J62" s="238"/>
      <c r="K62" s="238">
        <v>0</v>
      </c>
      <c r="L62" s="235">
        <v>0</v>
      </c>
      <c r="M62" s="235"/>
      <c r="N62" s="235">
        <f t="shared" si="15"/>
        <v>0</v>
      </c>
      <c r="O62" s="235"/>
      <c r="P62" s="321">
        <f t="shared" si="16"/>
        <v>0</v>
      </c>
      <c r="Q62" s="235">
        <f t="shared" si="17"/>
        <v>0</v>
      </c>
      <c r="R62" s="322">
        <f t="shared" si="18"/>
        <v>0</v>
      </c>
      <c r="S62" s="445"/>
      <c r="T62" s="254"/>
    </row>
    <row r="63" spans="1:21" ht="13.8">
      <c r="A63" s="448">
        <v>44</v>
      </c>
      <c r="B63" s="219" t="s">
        <v>50</v>
      </c>
      <c r="C63" s="218" t="s">
        <v>47</v>
      </c>
      <c r="D63" s="217">
        <v>3139.57</v>
      </c>
      <c r="E63" s="217">
        <v>61.8</v>
      </c>
      <c r="F63" s="216">
        <v>194025.43</v>
      </c>
      <c r="G63" s="320">
        <v>0</v>
      </c>
      <c r="H63" s="238">
        <v>61.8</v>
      </c>
      <c r="I63" s="238">
        <v>194025.43</v>
      </c>
      <c r="J63" s="238"/>
      <c r="K63" s="238">
        <v>0</v>
      </c>
      <c r="L63" s="235">
        <v>0</v>
      </c>
      <c r="M63" s="235"/>
      <c r="N63" s="235">
        <f t="shared" si="15"/>
        <v>0</v>
      </c>
      <c r="O63" s="235"/>
      <c r="P63" s="321">
        <f t="shared" si="16"/>
        <v>0</v>
      </c>
      <c r="Q63" s="235">
        <f t="shared" si="17"/>
        <v>0</v>
      </c>
      <c r="R63" s="322">
        <f t="shared" si="18"/>
        <v>0</v>
      </c>
      <c r="S63" s="445"/>
      <c r="T63" s="254"/>
    </row>
    <row r="64" spans="1:21" ht="13.8">
      <c r="A64" s="448">
        <v>45</v>
      </c>
      <c r="B64" s="219" t="s">
        <v>51</v>
      </c>
      <c r="C64" s="218" t="s">
        <v>58</v>
      </c>
      <c r="D64" s="217">
        <v>403.4</v>
      </c>
      <c r="E64" s="217">
        <v>26.25</v>
      </c>
      <c r="F64" s="216">
        <v>10589.25</v>
      </c>
      <c r="G64" s="320">
        <v>0</v>
      </c>
      <c r="H64" s="238">
        <v>26.25</v>
      </c>
      <c r="I64" s="238">
        <v>10589.25</v>
      </c>
      <c r="J64" s="238"/>
      <c r="K64" s="238">
        <v>0</v>
      </c>
      <c r="L64" s="235">
        <v>0</v>
      </c>
      <c r="M64" s="235"/>
      <c r="N64" s="235">
        <f t="shared" si="15"/>
        <v>0</v>
      </c>
      <c r="O64" s="235"/>
      <c r="P64" s="321">
        <f t="shared" si="16"/>
        <v>0</v>
      </c>
      <c r="Q64" s="235">
        <f t="shared" si="17"/>
        <v>0</v>
      </c>
      <c r="R64" s="322">
        <f t="shared" si="18"/>
        <v>0</v>
      </c>
      <c r="S64" s="445"/>
      <c r="T64" s="254"/>
    </row>
    <row r="65" spans="1:20" ht="13.8">
      <c r="A65" s="448">
        <v>46</v>
      </c>
      <c r="B65" s="219" t="s">
        <v>52</v>
      </c>
      <c r="C65" s="218" t="s">
        <v>18</v>
      </c>
      <c r="D65" s="217">
        <v>45986.77</v>
      </c>
      <c r="E65" s="217">
        <v>1</v>
      </c>
      <c r="F65" s="216">
        <v>45986.77</v>
      </c>
      <c r="G65" s="320">
        <v>0</v>
      </c>
      <c r="H65" s="238">
        <v>1</v>
      </c>
      <c r="I65" s="238">
        <v>45986.77</v>
      </c>
      <c r="J65" s="238"/>
      <c r="K65" s="238">
        <v>0</v>
      </c>
      <c r="L65" s="235">
        <v>0</v>
      </c>
      <c r="M65" s="235"/>
      <c r="N65" s="235">
        <f t="shared" si="15"/>
        <v>0</v>
      </c>
      <c r="O65" s="235"/>
      <c r="P65" s="321">
        <f t="shared" si="16"/>
        <v>0</v>
      </c>
      <c r="Q65" s="235">
        <f t="shared" si="17"/>
        <v>0</v>
      </c>
      <c r="R65" s="322">
        <f t="shared" si="18"/>
        <v>0</v>
      </c>
      <c r="S65" s="445"/>
      <c r="T65" s="254"/>
    </row>
    <row r="66" spans="1:20" ht="13.8">
      <c r="A66" s="448">
        <v>47</v>
      </c>
      <c r="B66" s="219" t="s">
        <v>53</v>
      </c>
      <c r="C66" s="218" t="s">
        <v>47</v>
      </c>
      <c r="D66" s="217">
        <v>825.66</v>
      </c>
      <c r="E66" s="217">
        <v>14.6</v>
      </c>
      <c r="F66" s="216">
        <v>12054.64</v>
      </c>
      <c r="G66" s="320">
        <v>0</v>
      </c>
      <c r="H66" s="238">
        <v>14.6</v>
      </c>
      <c r="I66" s="238">
        <v>12054.64</v>
      </c>
      <c r="J66" s="238"/>
      <c r="K66" s="238">
        <v>0</v>
      </c>
      <c r="L66" s="235">
        <v>0</v>
      </c>
      <c r="M66" s="235"/>
      <c r="N66" s="235">
        <f t="shared" si="15"/>
        <v>0</v>
      </c>
      <c r="O66" s="235"/>
      <c r="P66" s="321">
        <f t="shared" si="16"/>
        <v>0</v>
      </c>
      <c r="Q66" s="235">
        <f t="shared" si="17"/>
        <v>0</v>
      </c>
      <c r="R66" s="322">
        <f t="shared" si="18"/>
        <v>0</v>
      </c>
      <c r="S66" s="445"/>
      <c r="T66" s="254"/>
    </row>
    <row r="67" spans="1:20" ht="13.8">
      <c r="A67" s="448">
        <v>48</v>
      </c>
      <c r="B67" s="219" t="s">
        <v>54</v>
      </c>
      <c r="C67" s="218" t="s">
        <v>47</v>
      </c>
      <c r="D67" s="217">
        <v>83.48</v>
      </c>
      <c r="E67" s="217">
        <v>38.799999999999997</v>
      </c>
      <c r="F67" s="216">
        <v>3239.02</v>
      </c>
      <c r="G67" s="320">
        <v>0</v>
      </c>
      <c r="H67" s="238">
        <v>38.799999999999997</v>
      </c>
      <c r="I67" s="238">
        <v>3239.02</v>
      </c>
      <c r="J67" s="238"/>
      <c r="K67" s="238">
        <v>0</v>
      </c>
      <c r="L67" s="235">
        <v>0</v>
      </c>
      <c r="M67" s="235"/>
      <c r="N67" s="235">
        <f t="shared" si="15"/>
        <v>0</v>
      </c>
      <c r="O67" s="235"/>
      <c r="P67" s="321">
        <f t="shared" si="16"/>
        <v>0</v>
      </c>
      <c r="Q67" s="235">
        <f t="shared" si="17"/>
        <v>0</v>
      </c>
      <c r="R67" s="322">
        <f t="shared" si="18"/>
        <v>0</v>
      </c>
      <c r="S67" s="445"/>
      <c r="T67" s="254"/>
    </row>
    <row r="68" spans="1:20" ht="13.8">
      <c r="A68" s="453">
        <v>49</v>
      </c>
      <c r="B68" s="215" t="s">
        <v>57</v>
      </c>
      <c r="C68" s="214" t="s">
        <v>18</v>
      </c>
      <c r="D68" s="213">
        <v>4553.8599999999997</v>
      </c>
      <c r="E68" s="213">
        <v>1</v>
      </c>
      <c r="F68" s="212">
        <v>4553.8599999999997</v>
      </c>
      <c r="G68" s="324">
        <v>0</v>
      </c>
      <c r="H68" s="325">
        <v>1</v>
      </c>
      <c r="I68" s="325">
        <v>4553.8599999999997</v>
      </c>
      <c r="J68" s="326"/>
      <c r="K68" s="331">
        <v>0</v>
      </c>
      <c r="L68" s="328">
        <v>0</v>
      </c>
      <c r="M68" s="328"/>
      <c r="N68" s="328">
        <f t="shared" si="15"/>
        <v>0</v>
      </c>
      <c r="O68" s="328"/>
      <c r="P68" s="327">
        <f t="shared" si="16"/>
        <v>0</v>
      </c>
      <c r="Q68" s="328">
        <f t="shared" si="17"/>
        <v>0</v>
      </c>
      <c r="R68" s="329">
        <f t="shared" si="18"/>
        <v>0</v>
      </c>
      <c r="S68" s="445"/>
      <c r="T68" s="254"/>
    </row>
    <row r="69" spans="1:20" ht="13.8">
      <c r="A69" s="441"/>
      <c r="B69" s="442" t="s">
        <v>61</v>
      </c>
      <c r="C69" s="227"/>
      <c r="D69" s="226"/>
      <c r="E69" s="226"/>
      <c r="F69" s="225"/>
      <c r="G69" s="226"/>
      <c r="H69" s="225"/>
      <c r="I69" s="225"/>
      <c r="J69" s="224"/>
      <c r="K69" s="223"/>
      <c r="L69" s="221"/>
      <c r="M69" s="221"/>
      <c r="N69" s="221"/>
      <c r="O69" s="221"/>
      <c r="P69" s="222"/>
      <c r="Q69" s="221"/>
      <c r="R69" s="220"/>
      <c r="S69" s="445"/>
      <c r="T69" s="254"/>
    </row>
    <row r="70" spans="1:20" ht="13.8">
      <c r="A70" s="444">
        <v>50</v>
      </c>
      <c r="B70" s="7" t="s">
        <v>62</v>
      </c>
      <c r="C70" s="234" t="s">
        <v>67</v>
      </c>
      <c r="D70" s="233">
        <v>1145.2</v>
      </c>
      <c r="E70" s="233">
        <v>15</v>
      </c>
      <c r="F70" s="232">
        <v>17178</v>
      </c>
      <c r="G70" s="314">
        <v>0</v>
      </c>
      <c r="H70" s="315">
        <v>15</v>
      </c>
      <c r="I70" s="315">
        <v>17178</v>
      </c>
      <c r="J70" s="330"/>
      <c r="K70" s="332">
        <v>0</v>
      </c>
      <c r="L70" s="317">
        <v>0</v>
      </c>
      <c r="M70" s="317"/>
      <c r="N70" s="317">
        <f t="shared" ref="N70:N74" si="19">ROUND(M70*D70,2)</f>
        <v>0</v>
      </c>
      <c r="O70" s="317"/>
      <c r="P70" s="318">
        <f>L70+N70</f>
        <v>0</v>
      </c>
      <c r="Q70" s="317">
        <f>IF(ISERROR(N70/I70),"",ROUND(N70/I70*100,2))</f>
        <v>0</v>
      </c>
      <c r="R70" s="319">
        <f>IF(ISERROR(P70/I70),"",ROUND(P70/I70*100,2))</f>
        <v>0</v>
      </c>
      <c r="S70" s="445"/>
      <c r="T70" s="254"/>
    </row>
    <row r="71" spans="1:20" ht="13.8">
      <c r="A71" s="448">
        <v>51</v>
      </c>
      <c r="B71" s="8" t="s">
        <v>63</v>
      </c>
      <c r="C71" s="218" t="s">
        <v>67</v>
      </c>
      <c r="D71" s="217">
        <v>977.64</v>
      </c>
      <c r="E71" s="217">
        <v>33</v>
      </c>
      <c r="F71" s="231">
        <v>32262.12</v>
      </c>
      <c r="G71" s="320">
        <v>0</v>
      </c>
      <c r="H71" s="238">
        <v>33</v>
      </c>
      <c r="I71" s="238">
        <v>32262.12</v>
      </c>
      <c r="J71" s="237"/>
      <c r="K71" s="236">
        <v>0</v>
      </c>
      <c r="L71" s="235">
        <v>0</v>
      </c>
      <c r="M71" s="235"/>
      <c r="N71" s="235">
        <f t="shared" si="19"/>
        <v>0</v>
      </c>
      <c r="O71" s="235"/>
      <c r="P71" s="321">
        <f>L71+N71</f>
        <v>0</v>
      </c>
      <c r="Q71" s="235">
        <f>IF(ISERROR(N71/I71),"",ROUND(N71/I71*100,2))</f>
        <v>0</v>
      </c>
      <c r="R71" s="322">
        <f>IF(ISERROR(P71/I71),"",ROUND(P71/I71*100,2))</f>
        <v>0</v>
      </c>
      <c r="S71" s="445"/>
      <c r="T71" s="254"/>
    </row>
    <row r="72" spans="1:20" ht="13.8">
      <c r="A72" s="448">
        <v>52</v>
      </c>
      <c r="B72" s="8" t="s">
        <v>64</v>
      </c>
      <c r="C72" s="218" t="s">
        <v>67</v>
      </c>
      <c r="D72" s="217">
        <v>1497.96</v>
      </c>
      <c r="E72" s="217">
        <v>1</v>
      </c>
      <c r="F72" s="231">
        <v>1497.96</v>
      </c>
      <c r="G72" s="320">
        <v>0</v>
      </c>
      <c r="H72" s="238">
        <v>1</v>
      </c>
      <c r="I72" s="238">
        <v>1497.96</v>
      </c>
      <c r="J72" s="237"/>
      <c r="K72" s="236">
        <v>0</v>
      </c>
      <c r="L72" s="235">
        <v>0</v>
      </c>
      <c r="M72" s="235"/>
      <c r="N72" s="235">
        <f t="shared" si="19"/>
        <v>0</v>
      </c>
      <c r="O72" s="235"/>
      <c r="P72" s="321">
        <f>L72+N72</f>
        <v>0</v>
      </c>
      <c r="Q72" s="235">
        <f>IF(ISERROR(N72/I72),"",ROUND(N72/I72*100,2))</f>
        <v>0</v>
      </c>
      <c r="R72" s="322">
        <f>IF(ISERROR(P72/I72),"",ROUND(P72/I72*100,2))</f>
        <v>0</v>
      </c>
      <c r="S72" s="445"/>
      <c r="T72" s="254"/>
    </row>
    <row r="73" spans="1:20" ht="13.8">
      <c r="A73" s="448">
        <v>53</v>
      </c>
      <c r="B73" s="8" t="s">
        <v>65</v>
      </c>
      <c r="C73" s="218" t="s">
        <v>67</v>
      </c>
      <c r="D73" s="217">
        <v>276.64</v>
      </c>
      <c r="E73" s="217">
        <v>26</v>
      </c>
      <c r="F73" s="231">
        <v>7192.64</v>
      </c>
      <c r="G73" s="320">
        <v>0</v>
      </c>
      <c r="H73" s="238">
        <v>26</v>
      </c>
      <c r="I73" s="238">
        <v>7192.64</v>
      </c>
      <c r="J73" s="237"/>
      <c r="K73" s="236">
        <v>0</v>
      </c>
      <c r="L73" s="235">
        <v>0</v>
      </c>
      <c r="M73" s="235"/>
      <c r="N73" s="235">
        <f t="shared" si="19"/>
        <v>0</v>
      </c>
      <c r="O73" s="235"/>
      <c r="P73" s="321">
        <f>L73+N73</f>
        <v>0</v>
      </c>
      <c r="Q73" s="235">
        <f>IF(ISERROR(N73/I73),"",ROUND(N73/I73*100,2))</f>
        <v>0</v>
      </c>
      <c r="R73" s="322">
        <f>IF(ISERROR(P73/I73),"",ROUND(P73/I73*100,2))</f>
        <v>0</v>
      </c>
      <c r="S73" s="445"/>
      <c r="T73" s="254"/>
    </row>
    <row r="74" spans="1:20" ht="13.8">
      <c r="A74" s="453">
        <v>54</v>
      </c>
      <c r="B74" s="9" t="s">
        <v>66</v>
      </c>
      <c r="C74" s="214" t="s">
        <v>67</v>
      </c>
      <c r="D74" s="213">
        <v>235.45</v>
      </c>
      <c r="E74" s="213">
        <v>98</v>
      </c>
      <c r="F74" s="230">
        <v>23074.1</v>
      </c>
      <c r="G74" s="324">
        <v>0</v>
      </c>
      <c r="H74" s="325">
        <v>98</v>
      </c>
      <c r="I74" s="325">
        <v>23074.1</v>
      </c>
      <c r="J74" s="326"/>
      <c r="K74" s="331">
        <v>0</v>
      </c>
      <c r="L74" s="328">
        <v>0</v>
      </c>
      <c r="M74" s="328"/>
      <c r="N74" s="328">
        <f t="shared" si="19"/>
        <v>0</v>
      </c>
      <c r="O74" s="328"/>
      <c r="P74" s="327">
        <f>L74+N74</f>
        <v>0</v>
      </c>
      <c r="Q74" s="328">
        <f>IF(ISERROR(N74/I74),"",ROUND(N74/I74*100,2))</f>
        <v>0</v>
      </c>
      <c r="R74" s="329">
        <f>IF(ISERROR(P74/I74),"",ROUND(P74/I74*100,2))</f>
        <v>0</v>
      </c>
      <c r="S74" s="445"/>
      <c r="T74" s="254"/>
    </row>
    <row r="75" spans="1:20" ht="13.8">
      <c r="A75" s="441"/>
      <c r="B75" s="442" t="s">
        <v>68</v>
      </c>
      <c r="C75" s="227"/>
      <c r="D75" s="226"/>
      <c r="E75" s="226"/>
      <c r="F75" s="225"/>
      <c r="G75" s="226"/>
      <c r="H75" s="225"/>
      <c r="I75" s="225"/>
      <c r="J75" s="224"/>
      <c r="K75" s="223"/>
      <c r="L75" s="221"/>
      <c r="M75" s="221"/>
      <c r="N75" s="221"/>
      <c r="O75" s="221"/>
      <c r="P75" s="222"/>
      <c r="Q75" s="221"/>
      <c r="R75" s="220"/>
      <c r="S75" s="445"/>
      <c r="T75" s="254"/>
    </row>
    <row r="76" spans="1:20" ht="13.8">
      <c r="A76" s="444">
        <v>65</v>
      </c>
      <c r="B76" s="241" t="s">
        <v>69</v>
      </c>
      <c r="C76" s="234" t="s">
        <v>75</v>
      </c>
      <c r="D76" s="233">
        <v>412.06</v>
      </c>
      <c r="E76" s="233">
        <v>10</v>
      </c>
      <c r="F76" s="240">
        <v>4120.6000000000004</v>
      </c>
      <c r="G76" s="314">
        <v>0</v>
      </c>
      <c r="H76" s="315">
        <v>10</v>
      </c>
      <c r="I76" s="315">
        <v>4120.6000000000004</v>
      </c>
      <c r="J76" s="330"/>
      <c r="K76" s="332">
        <v>0</v>
      </c>
      <c r="L76" s="317">
        <v>0</v>
      </c>
      <c r="M76" s="317"/>
      <c r="N76" s="317">
        <f t="shared" ref="N76:N81" si="20">ROUND(M76*D76,2)</f>
        <v>0</v>
      </c>
      <c r="O76" s="317"/>
      <c r="P76" s="318">
        <f t="shared" ref="P76:P81" si="21">L76+N76</f>
        <v>0</v>
      </c>
      <c r="Q76" s="317">
        <f t="shared" ref="Q76:Q81" si="22">IF(ISERROR(N76/I76),"",ROUND(N76/I76*100,2))</f>
        <v>0</v>
      </c>
      <c r="R76" s="319">
        <f t="shared" ref="R76:R81" si="23">IF(ISERROR(P76/I76),"",ROUND(P76/I76*100,2))</f>
        <v>0</v>
      </c>
      <c r="S76" s="445"/>
      <c r="T76" s="254"/>
    </row>
    <row r="77" spans="1:20" ht="13.8">
      <c r="A77" s="448">
        <v>69</v>
      </c>
      <c r="B77" s="219" t="s">
        <v>70</v>
      </c>
      <c r="C77" s="218" t="s">
        <v>10</v>
      </c>
      <c r="D77" s="217">
        <v>337.66</v>
      </c>
      <c r="E77" s="217">
        <v>460.72</v>
      </c>
      <c r="F77" s="216">
        <v>155566.72</v>
      </c>
      <c r="G77" s="320">
        <v>189.38</v>
      </c>
      <c r="H77" s="238">
        <v>650.1</v>
      </c>
      <c r="I77" s="238">
        <v>219512.77</v>
      </c>
      <c r="J77" s="237"/>
      <c r="K77" s="238">
        <v>460.72</v>
      </c>
      <c r="L77" s="235">
        <v>155566.72</v>
      </c>
      <c r="M77" s="235"/>
      <c r="N77" s="235">
        <f t="shared" si="20"/>
        <v>0</v>
      </c>
      <c r="O77" s="235">
        <f>IF(M77+K77=0,"",M77+K77)</f>
        <v>460.72</v>
      </c>
      <c r="P77" s="321">
        <f t="shared" si="21"/>
        <v>155566.72</v>
      </c>
      <c r="Q77" s="235">
        <f t="shared" si="22"/>
        <v>0</v>
      </c>
      <c r="R77" s="322">
        <f t="shared" si="23"/>
        <v>70.87</v>
      </c>
      <c r="S77" s="445"/>
      <c r="T77" s="254"/>
    </row>
    <row r="78" spans="1:20" ht="13.8">
      <c r="A78" s="448">
        <v>70</v>
      </c>
      <c r="B78" s="219" t="s">
        <v>71</v>
      </c>
      <c r="C78" s="218" t="s">
        <v>18</v>
      </c>
      <c r="D78" s="217">
        <v>11160.89</v>
      </c>
      <c r="E78" s="217">
        <v>0.2</v>
      </c>
      <c r="F78" s="216">
        <v>2232.1799999999998</v>
      </c>
      <c r="G78" s="320">
        <v>0</v>
      </c>
      <c r="H78" s="238">
        <v>0.2</v>
      </c>
      <c r="I78" s="238">
        <v>2232.1799999999998</v>
      </c>
      <c r="J78" s="237"/>
      <c r="K78" s="236">
        <v>0</v>
      </c>
      <c r="L78" s="235">
        <v>0</v>
      </c>
      <c r="M78" s="235"/>
      <c r="N78" s="235">
        <f t="shared" si="20"/>
        <v>0</v>
      </c>
      <c r="O78" s="235"/>
      <c r="P78" s="321">
        <f t="shared" si="21"/>
        <v>0</v>
      </c>
      <c r="Q78" s="235">
        <f t="shared" si="22"/>
        <v>0</v>
      </c>
      <c r="R78" s="322">
        <f t="shared" si="23"/>
        <v>0</v>
      </c>
      <c r="S78" s="445"/>
      <c r="T78" s="254"/>
    </row>
    <row r="79" spans="1:20" ht="13.8">
      <c r="A79" s="448">
        <v>71</v>
      </c>
      <c r="B79" s="219" t="s">
        <v>72</v>
      </c>
      <c r="C79" s="218" t="s">
        <v>25</v>
      </c>
      <c r="D79" s="217">
        <v>3424.36</v>
      </c>
      <c r="E79" s="217">
        <v>5.57</v>
      </c>
      <c r="F79" s="216">
        <v>19073.689999999999</v>
      </c>
      <c r="G79" s="320">
        <v>0</v>
      </c>
      <c r="H79" s="238">
        <v>5.57</v>
      </c>
      <c r="I79" s="238">
        <v>19073.689999999999</v>
      </c>
      <c r="J79" s="237"/>
      <c r="K79" s="236">
        <v>0</v>
      </c>
      <c r="L79" s="235">
        <v>0</v>
      </c>
      <c r="M79" s="235"/>
      <c r="N79" s="235">
        <f t="shared" si="20"/>
        <v>0</v>
      </c>
      <c r="O79" s="235"/>
      <c r="P79" s="321">
        <f t="shared" si="21"/>
        <v>0</v>
      </c>
      <c r="Q79" s="235">
        <f t="shared" si="22"/>
        <v>0</v>
      </c>
      <c r="R79" s="322">
        <f t="shared" si="23"/>
        <v>0</v>
      </c>
      <c r="S79" s="445"/>
      <c r="T79" s="254"/>
    </row>
    <row r="80" spans="1:20" ht="13.8">
      <c r="A80" s="448">
        <v>72</v>
      </c>
      <c r="B80" s="219" t="s">
        <v>73</v>
      </c>
      <c r="C80" s="218" t="s">
        <v>25</v>
      </c>
      <c r="D80" s="217">
        <v>5452.74</v>
      </c>
      <c r="E80" s="217">
        <v>4.78</v>
      </c>
      <c r="F80" s="216">
        <v>26064.1</v>
      </c>
      <c r="G80" s="320">
        <v>0</v>
      </c>
      <c r="H80" s="238">
        <v>4.78</v>
      </c>
      <c r="I80" s="238">
        <v>26064.1</v>
      </c>
      <c r="J80" s="237"/>
      <c r="K80" s="236">
        <v>0</v>
      </c>
      <c r="L80" s="235">
        <v>0</v>
      </c>
      <c r="M80" s="235"/>
      <c r="N80" s="235">
        <f t="shared" si="20"/>
        <v>0</v>
      </c>
      <c r="O80" s="235"/>
      <c r="P80" s="321">
        <f t="shared" si="21"/>
        <v>0</v>
      </c>
      <c r="Q80" s="235">
        <f t="shared" si="22"/>
        <v>0</v>
      </c>
      <c r="R80" s="322">
        <f t="shared" si="23"/>
        <v>0</v>
      </c>
      <c r="S80" s="445"/>
      <c r="T80" s="254"/>
    </row>
    <row r="81" spans="1:21" ht="13.8">
      <c r="A81" s="453">
        <v>74</v>
      </c>
      <c r="B81" s="215" t="s">
        <v>74</v>
      </c>
      <c r="C81" s="214" t="s">
        <v>18</v>
      </c>
      <c r="D81" s="213">
        <v>6376.18</v>
      </c>
      <c r="E81" s="213">
        <v>0.4</v>
      </c>
      <c r="F81" s="212">
        <v>2550.4699999999998</v>
      </c>
      <c r="G81" s="324">
        <v>0</v>
      </c>
      <c r="H81" s="325">
        <v>0.4</v>
      </c>
      <c r="I81" s="325">
        <v>2550.4699999999998</v>
      </c>
      <c r="J81" s="326"/>
      <c r="K81" s="328">
        <v>0</v>
      </c>
      <c r="L81" s="328">
        <v>0</v>
      </c>
      <c r="M81" s="328"/>
      <c r="N81" s="328">
        <f t="shared" si="20"/>
        <v>0</v>
      </c>
      <c r="O81" s="328"/>
      <c r="P81" s="327">
        <f t="shared" si="21"/>
        <v>0</v>
      </c>
      <c r="Q81" s="328">
        <f t="shared" si="22"/>
        <v>0</v>
      </c>
      <c r="R81" s="329">
        <f t="shared" si="23"/>
        <v>0</v>
      </c>
      <c r="S81" s="445"/>
      <c r="T81" s="254"/>
    </row>
    <row r="82" spans="1:21" ht="13.8">
      <c r="A82" s="463"/>
      <c r="B82" s="259"/>
      <c r="C82" s="227"/>
      <c r="D82" s="226"/>
      <c r="E82" s="334"/>
      <c r="F82" s="225"/>
      <c r="G82" s="226"/>
      <c r="H82" s="225"/>
      <c r="I82" s="225"/>
      <c r="J82" s="226"/>
      <c r="K82" s="221"/>
      <c r="L82" s="221"/>
      <c r="M82" s="221"/>
      <c r="N82" s="221"/>
      <c r="O82" s="221"/>
      <c r="P82" s="222"/>
      <c r="Q82" s="221"/>
      <c r="R82" s="335" t="str">
        <f t="shared" ref="R82" si="24">IF(ISERROR(P82/I82),"",ROUND(P82/I82*100,2))</f>
        <v/>
      </c>
    </row>
    <row r="83" spans="1:21">
      <c r="A83" s="771" t="s">
        <v>16</v>
      </c>
      <c r="B83" s="772"/>
      <c r="C83" s="772"/>
      <c r="D83" s="772"/>
      <c r="E83" s="204"/>
      <c r="F83" s="211">
        <f>SUM(F16:F81)</f>
        <v>16903840.539999999</v>
      </c>
      <c r="G83" s="204"/>
      <c r="H83" s="210"/>
      <c r="I83" s="209">
        <f>SUM(I16:I81)</f>
        <v>16903840.539999999</v>
      </c>
      <c r="J83" s="204"/>
      <c r="K83" s="204"/>
      <c r="L83" s="204">
        <f>ROUND(SUM(L16:L82),2)</f>
        <v>9472212.9499999993</v>
      </c>
      <c r="M83" s="204"/>
      <c r="N83" s="204">
        <f>SUM(N16:N82)</f>
        <v>1502233.73</v>
      </c>
      <c r="O83" s="204" t="str">
        <f>IF(M83+K83=0,"",M83+K83)</f>
        <v/>
      </c>
      <c r="P83" s="204">
        <f>ROUND(SUM(P16:P82),2)</f>
        <v>10974446.68</v>
      </c>
      <c r="Q83" s="208">
        <f>+N83/I83*100</f>
        <v>8.89</v>
      </c>
      <c r="R83" s="208"/>
      <c r="S83" s="464"/>
      <c r="T83" s="465"/>
      <c r="U83" s="254"/>
    </row>
    <row r="84" spans="1:21">
      <c r="A84" s="346"/>
      <c r="B84" s="346"/>
      <c r="C84" s="346"/>
      <c r="D84" s="346"/>
      <c r="E84" s="346"/>
      <c r="F84" s="466"/>
      <c r="G84" s="346"/>
      <c r="H84" s="346"/>
      <c r="I84" s="467"/>
      <c r="J84" s="346"/>
      <c r="K84" s="468"/>
      <c r="L84" s="192"/>
      <c r="M84" s="468"/>
      <c r="N84" s="196"/>
      <c r="O84" s="468"/>
      <c r="P84" s="192"/>
      <c r="Q84" s="346"/>
      <c r="R84" s="469"/>
    </row>
    <row r="85" spans="1:21">
      <c r="A85" s="346"/>
      <c r="B85" s="346"/>
      <c r="C85" s="346"/>
      <c r="D85" s="346"/>
      <c r="E85" s="346"/>
      <c r="F85" s="346"/>
      <c r="G85" s="346"/>
      <c r="H85" s="346"/>
      <c r="I85" s="467"/>
      <c r="J85" s="346"/>
      <c r="K85" s="468"/>
      <c r="L85" s="192"/>
      <c r="M85" s="468"/>
      <c r="N85" s="196"/>
      <c r="O85" s="468"/>
      <c r="P85" s="192"/>
      <c r="Q85" s="470"/>
      <c r="R85" s="346"/>
    </row>
    <row r="86" spans="1:21">
      <c r="A86" s="346"/>
      <c r="B86" s="346"/>
      <c r="C86" s="346"/>
      <c r="D86" s="346"/>
      <c r="E86" s="346"/>
      <c r="F86" s="471"/>
      <c r="G86" s="346"/>
      <c r="H86" s="346"/>
      <c r="I86" s="346"/>
      <c r="J86" s="346"/>
      <c r="K86" s="468"/>
      <c r="L86" s="192"/>
      <c r="M86" s="468"/>
      <c r="N86" s="199"/>
      <c r="O86" s="198"/>
      <c r="P86" s="197"/>
      <c r="Q86" s="346"/>
      <c r="R86" s="346"/>
    </row>
    <row r="87" spans="1:21">
      <c r="A87" s="346"/>
      <c r="B87" s="346"/>
      <c r="C87" s="346"/>
      <c r="D87" s="346"/>
      <c r="E87" s="346"/>
      <c r="F87" s="454"/>
      <c r="G87" s="346"/>
      <c r="H87" s="346"/>
      <c r="I87" s="346"/>
      <c r="J87" s="346"/>
      <c r="K87" s="468"/>
      <c r="L87" s="192"/>
      <c r="M87" s="468"/>
      <c r="N87" s="196"/>
      <c r="O87" s="468"/>
      <c r="P87" s="192"/>
      <c r="Q87" s="346"/>
      <c r="R87" s="346"/>
    </row>
    <row r="88" spans="1:21">
      <c r="A88" s="346"/>
      <c r="B88" s="346"/>
      <c r="C88" s="346"/>
      <c r="D88" s="346"/>
      <c r="E88" s="346"/>
      <c r="F88" s="346"/>
      <c r="G88" s="467"/>
      <c r="H88" s="346"/>
      <c r="I88" s="346"/>
      <c r="J88" s="346"/>
      <c r="K88" s="468"/>
      <c r="L88" s="472"/>
      <c r="M88" s="468"/>
      <c r="N88" s="472"/>
      <c r="O88" s="468"/>
      <c r="P88" s="472"/>
      <c r="Q88" s="473"/>
      <c r="R88" s="468"/>
    </row>
    <row r="89" spans="1:21">
      <c r="A89" s="346"/>
      <c r="B89" s="346"/>
      <c r="C89" s="346"/>
      <c r="D89" s="346"/>
      <c r="E89" s="346"/>
      <c r="F89" s="346"/>
      <c r="G89" s="467"/>
      <c r="H89" s="346"/>
      <c r="I89" s="346"/>
      <c r="J89" s="346"/>
      <c r="K89" s="468"/>
      <c r="L89" s="472"/>
      <c r="M89" s="468"/>
      <c r="N89" s="472"/>
      <c r="O89" s="468"/>
      <c r="P89" s="472"/>
      <c r="Q89" s="473"/>
      <c r="R89" s="468"/>
    </row>
    <row r="90" spans="1:21">
      <c r="A90" s="346"/>
      <c r="B90" s="346"/>
      <c r="C90" s="346"/>
      <c r="D90" s="346"/>
      <c r="E90" s="346"/>
      <c r="F90" s="346"/>
      <c r="G90" s="467"/>
      <c r="H90" s="346"/>
      <c r="I90" s="346"/>
      <c r="J90" s="346"/>
      <c r="K90" s="468"/>
      <c r="L90" s="472"/>
      <c r="M90" s="468"/>
      <c r="N90" s="472"/>
      <c r="O90" s="468"/>
      <c r="P90" s="472"/>
      <c r="Q90" s="473"/>
      <c r="R90" s="468"/>
    </row>
    <row r="91" spans="1:21">
      <c r="A91" s="346"/>
      <c r="B91" s="346"/>
      <c r="C91" s="346"/>
      <c r="D91" s="346"/>
      <c r="E91" s="346"/>
      <c r="F91" s="346"/>
      <c r="G91" s="467"/>
      <c r="H91" s="346"/>
      <c r="I91" s="346"/>
      <c r="J91" s="346"/>
      <c r="K91" s="468"/>
      <c r="L91" s="472"/>
      <c r="M91" s="468"/>
      <c r="N91" s="472"/>
      <c r="O91" s="468"/>
      <c r="P91" s="472"/>
      <c r="Q91" s="473"/>
      <c r="R91" s="468"/>
    </row>
    <row r="92" spans="1:21">
      <c r="A92" s="346"/>
      <c r="B92" s="346"/>
      <c r="C92" s="346"/>
      <c r="D92" s="346"/>
      <c r="E92" s="346"/>
      <c r="F92" s="346"/>
      <c r="G92" s="467"/>
      <c r="H92" s="346"/>
      <c r="I92" s="346"/>
      <c r="J92" s="346"/>
      <c r="K92" s="468"/>
      <c r="L92" s="472"/>
      <c r="M92" s="468"/>
      <c r="N92" s="472"/>
      <c r="O92" s="468"/>
      <c r="P92" s="472"/>
      <c r="Q92" s="473"/>
      <c r="R92" s="468"/>
    </row>
    <row r="93" spans="1:21">
      <c r="A93" s="346"/>
      <c r="B93" s="346"/>
      <c r="C93" s="346"/>
      <c r="D93" s="346"/>
      <c r="E93" s="346"/>
      <c r="F93" s="346"/>
      <c r="G93" s="467"/>
      <c r="H93" s="346"/>
      <c r="I93" s="346"/>
      <c r="J93" s="346"/>
      <c r="K93" s="468"/>
      <c r="L93" s="472"/>
      <c r="M93" s="468"/>
      <c r="N93" s="472"/>
      <c r="O93" s="468"/>
      <c r="P93" s="472"/>
      <c r="Q93" s="473"/>
      <c r="R93" s="468"/>
    </row>
    <row r="94" spans="1:21">
      <c r="A94" s="346"/>
      <c r="B94" s="346"/>
      <c r="C94" s="346"/>
      <c r="D94" s="346"/>
      <c r="E94" s="346"/>
      <c r="F94" s="346"/>
      <c r="G94" s="467"/>
      <c r="H94" s="346"/>
      <c r="I94" s="346"/>
      <c r="J94" s="346"/>
      <c r="K94" s="468"/>
      <c r="L94" s="472"/>
      <c r="M94" s="468"/>
      <c r="N94" s="472"/>
      <c r="O94" s="468"/>
      <c r="P94" s="472"/>
      <c r="Q94" s="473"/>
      <c r="R94" s="468"/>
    </row>
    <row r="95" spans="1:21">
      <c r="A95" s="346"/>
      <c r="B95" s="346"/>
      <c r="C95" s="346"/>
      <c r="D95" s="346"/>
      <c r="E95" s="346"/>
      <c r="F95" s="346"/>
      <c r="G95" s="467"/>
      <c r="H95" s="346"/>
      <c r="I95" s="346"/>
      <c r="J95" s="346"/>
      <c r="K95" s="468"/>
      <c r="L95" s="472"/>
      <c r="M95" s="468"/>
      <c r="N95" s="472"/>
      <c r="O95" s="468"/>
      <c r="P95" s="472"/>
      <c r="Q95" s="473"/>
      <c r="R95" s="468"/>
    </row>
    <row r="96" spans="1:21">
      <c r="A96" s="346"/>
      <c r="B96" s="346"/>
      <c r="C96" s="346"/>
      <c r="D96" s="346"/>
      <c r="E96" s="346"/>
      <c r="F96" s="346"/>
      <c r="G96" s="467"/>
      <c r="H96" s="346"/>
      <c r="I96" s="346"/>
      <c r="J96" s="346"/>
      <c r="K96" s="468"/>
      <c r="L96" s="472"/>
      <c r="M96" s="468"/>
      <c r="N96" s="472"/>
      <c r="O96" s="468"/>
      <c r="P96" s="472"/>
      <c r="Q96" s="473"/>
      <c r="R96" s="468"/>
    </row>
    <row r="97" spans="1:18">
      <c r="A97" s="346"/>
      <c r="B97" s="346"/>
      <c r="C97" s="346"/>
      <c r="D97" s="346"/>
      <c r="E97" s="346"/>
      <c r="F97" s="346"/>
      <c r="G97" s="346"/>
      <c r="H97" s="346"/>
      <c r="I97" s="346"/>
      <c r="J97" s="346"/>
      <c r="K97" s="468"/>
      <c r="L97" s="192"/>
      <c r="M97" s="468"/>
      <c r="N97" s="192"/>
      <c r="O97" s="468"/>
      <c r="P97" s="192"/>
      <c r="Q97" s="467"/>
      <c r="R97" s="346"/>
    </row>
    <row r="98" spans="1:18">
      <c r="A98" s="191"/>
      <c r="B98" s="346"/>
      <c r="C98" s="346"/>
      <c r="D98" s="346"/>
      <c r="E98" s="346"/>
      <c r="F98" s="474"/>
      <c r="G98" s="346"/>
      <c r="H98" s="346"/>
      <c r="I98" s="346"/>
      <c r="J98" s="346"/>
      <c r="K98" s="346"/>
      <c r="L98" s="467"/>
      <c r="M98" s="346"/>
      <c r="N98" s="346"/>
      <c r="O98" s="346"/>
      <c r="P98" s="454"/>
      <c r="Q98" s="346"/>
      <c r="R98" s="346"/>
    </row>
    <row r="99" spans="1:18">
      <c r="A99" s="346"/>
      <c r="B99" s="346"/>
      <c r="C99" s="346"/>
      <c r="D99" s="346"/>
      <c r="E99" s="346"/>
      <c r="F99" s="474"/>
      <c r="G99" s="346"/>
      <c r="H99" s="346"/>
      <c r="I99" s="346"/>
      <c r="J99" s="346"/>
      <c r="K99" s="346"/>
      <c r="L99" s="474"/>
      <c r="M99" s="346"/>
      <c r="N99" s="475"/>
      <c r="O99" s="346"/>
      <c r="P99" s="346"/>
      <c r="Q99" s="454"/>
      <c r="R99" s="346"/>
    </row>
    <row r="100" spans="1:18">
      <c r="A100" s="346"/>
      <c r="B100" s="346"/>
      <c r="C100" s="346"/>
      <c r="D100" s="346"/>
      <c r="E100" s="346"/>
      <c r="F100" s="346"/>
      <c r="G100" s="346"/>
      <c r="H100" s="346"/>
      <c r="I100" s="346"/>
      <c r="J100" s="346"/>
      <c r="K100" s="346"/>
      <c r="L100" s="346"/>
      <c r="M100" s="346"/>
      <c r="N100" s="454"/>
      <c r="O100" s="346"/>
      <c r="P100" s="346"/>
      <c r="Q100" s="346"/>
      <c r="R100" s="346"/>
    </row>
    <row r="101" spans="1:18">
      <c r="A101" s="346"/>
      <c r="B101" s="346"/>
      <c r="C101" s="346"/>
      <c r="D101" s="346"/>
      <c r="E101" s="346"/>
      <c r="F101" s="346"/>
      <c r="G101" s="346"/>
      <c r="H101" s="346"/>
      <c r="I101" s="346"/>
      <c r="J101" s="346"/>
      <c r="K101" s="346"/>
      <c r="L101" s="346"/>
      <c r="M101" s="346"/>
      <c r="N101" s="346"/>
      <c r="O101" s="346"/>
      <c r="P101" s="346"/>
      <c r="Q101" s="346"/>
      <c r="R101" s="346"/>
    </row>
    <row r="103" spans="1:18" ht="24.75" customHeight="1"/>
    <row r="104" spans="1:18">
      <c r="N104" s="183"/>
    </row>
    <row r="105" spans="1:18">
      <c r="F105" s="445"/>
      <c r="N105" s="476"/>
      <c r="O105" s="476"/>
    </row>
    <row r="106" spans="1:18">
      <c r="N106" s="445"/>
    </row>
    <row r="109" spans="1:18">
      <c r="F109" s="477"/>
    </row>
    <row r="110" spans="1:18">
      <c r="F110" s="478"/>
    </row>
    <row r="111" spans="1:18">
      <c r="E111" s="479"/>
    </row>
    <row r="112" spans="1:18">
      <c r="E112" s="480"/>
    </row>
    <row r="113" spans="5:5">
      <c r="E113" s="480"/>
    </row>
  </sheetData>
  <mergeCells count="34">
    <mergeCell ref="D10:R10"/>
    <mergeCell ref="A1:R1"/>
    <mergeCell ref="A2:R2"/>
    <mergeCell ref="A3:B3"/>
    <mergeCell ref="C3:R3"/>
    <mergeCell ref="A4:B4"/>
    <mergeCell ref="C4:R4"/>
    <mergeCell ref="D5:R5"/>
    <mergeCell ref="D6:R6"/>
    <mergeCell ref="D7:R7"/>
    <mergeCell ref="D8:R8"/>
    <mergeCell ref="D9:R9"/>
    <mergeCell ref="D11:R11"/>
    <mergeCell ref="A12:A14"/>
    <mergeCell ref="B12:B14"/>
    <mergeCell ref="C12:F12"/>
    <mergeCell ref="G12:J12"/>
    <mergeCell ref="K12:L12"/>
    <mergeCell ref="M12:N12"/>
    <mergeCell ref="O12:P12"/>
    <mergeCell ref="Q12:R12"/>
    <mergeCell ref="C13:D13"/>
    <mergeCell ref="K13:K14"/>
    <mergeCell ref="M13:M14"/>
    <mergeCell ref="O13:O14"/>
    <mergeCell ref="Q13:Q14"/>
    <mergeCell ref="R13:R14"/>
    <mergeCell ref="I13:I14"/>
    <mergeCell ref="J13:J14"/>
    <mergeCell ref="A83:D83"/>
    <mergeCell ref="E13:E14"/>
    <mergeCell ref="F13:F14"/>
    <mergeCell ref="G13:G14"/>
    <mergeCell ref="H13:H14"/>
  </mergeCells>
  <conditionalFormatting sqref="A15:R81">
    <cfRule type="expression" dxfId="3" priority="1">
      <formula>IF($M15&gt;0,1,0)</formula>
    </cfRule>
  </conditionalFormatting>
  <printOptions horizontalCentered="1"/>
  <pageMargins left="3.937007874015748E-2" right="0" top="0.43307086614173229" bottom="0.19685039370078741" header="0" footer="0"/>
  <pageSetup scale="57" fitToHeight="0" orientation="landscape" horizontalDpi="4294967293" r:id="rId1"/>
  <headerFooter scaleWithDoc="0" alignWithMargins="0"/>
  <rowBreaks count="1" manualBreakCount="1">
    <brk id="68" min="1" max="17" man="1"/>
  </rowBreaks>
  <colBreaks count="1" manualBreakCount="1">
    <brk id="18" max="1048575" man="1"/>
  </col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>
    <tabColor theme="8" tint="-0.249977111117893"/>
    <pageSetUpPr fitToPage="1"/>
  </sheetPr>
  <dimension ref="A1:AG113"/>
  <sheetViews>
    <sheetView showGridLines="0" view="pageBreakPreview" zoomScale="115" zoomScaleNormal="90" zoomScaleSheetLayoutView="115" zoomScalePageLayoutView="60" workbookViewId="0">
      <selection activeCell="B18" sqref="B18"/>
    </sheetView>
  </sheetViews>
  <sheetFormatPr baseColWidth="10" defaultColWidth="11.44140625" defaultRowHeight="13.2"/>
  <cols>
    <col min="1" max="1" width="5.44140625" style="23" customWidth="1"/>
    <col min="2" max="2" width="53.44140625" style="23" customWidth="1"/>
    <col min="3" max="3" width="6.109375" style="23" customWidth="1"/>
    <col min="4" max="4" width="10.5546875" style="23" customWidth="1"/>
    <col min="5" max="5" width="10.88671875" style="23" customWidth="1"/>
    <col min="6" max="6" width="14.33203125" style="23" customWidth="1"/>
    <col min="7" max="7" width="10" style="23" customWidth="1"/>
    <col min="8" max="8" width="11.109375" style="23" customWidth="1"/>
    <col min="9" max="9" width="13.5546875" style="23" customWidth="1"/>
    <col min="10" max="10" width="8.6640625" style="23" customWidth="1"/>
    <col min="11" max="11" width="10.6640625" style="23" customWidth="1"/>
    <col min="12" max="12" width="13.88671875" style="23" customWidth="1"/>
    <col min="13" max="13" width="11.33203125" style="23" customWidth="1"/>
    <col min="14" max="14" width="15.6640625" style="23" customWidth="1"/>
    <col min="15" max="15" width="12.5546875" style="23" customWidth="1"/>
    <col min="16" max="16" width="13.6640625" style="23" customWidth="1"/>
    <col min="17" max="17" width="10.5546875" style="23" customWidth="1"/>
    <col min="18" max="18" width="10.109375" style="23" customWidth="1"/>
    <col min="19" max="19" width="20" style="23" customWidth="1"/>
    <col min="20" max="20" width="20" style="22" customWidth="1"/>
    <col min="21" max="21" width="20.33203125" style="22" customWidth="1"/>
    <col min="22" max="22" width="16" style="23" customWidth="1"/>
    <col min="23" max="23" width="11.44140625" style="23"/>
    <col min="24" max="24" width="23.44140625" style="23" customWidth="1"/>
    <col min="25" max="25" width="16.88671875" style="23" customWidth="1"/>
    <col min="26" max="16384" width="11.44140625" style="23"/>
  </cols>
  <sheetData>
    <row r="1" spans="1:25" s="276" customFormat="1" ht="23.25" customHeight="1">
      <c r="A1" s="790" t="s">
        <v>237</v>
      </c>
      <c r="B1" s="791"/>
      <c r="C1" s="791"/>
      <c r="D1" s="791"/>
      <c r="E1" s="791"/>
      <c r="F1" s="791"/>
      <c r="G1" s="791"/>
      <c r="H1" s="791"/>
      <c r="I1" s="791"/>
      <c r="J1" s="791"/>
      <c r="K1" s="791"/>
      <c r="L1" s="791"/>
      <c r="M1" s="791"/>
      <c r="N1" s="791"/>
      <c r="O1" s="791"/>
      <c r="P1" s="791"/>
      <c r="Q1" s="791"/>
      <c r="R1" s="792"/>
      <c r="T1" s="277"/>
      <c r="U1" s="277"/>
    </row>
    <row r="2" spans="1:25" s="2" customFormat="1" ht="18.75" customHeight="1">
      <c r="A2" s="793" t="str">
        <f>ANALISIS!A2:F2</f>
        <v>PROYECTO:  MEJORAMIENTO CAMINO ROSARIO DEL INGRE - MACHICOCA - IVOCA (FASE I)</v>
      </c>
      <c r="B2" s="794"/>
      <c r="C2" s="794"/>
      <c r="D2" s="794"/>
      <c r="E2" s="794"/>
      <c r="F2" s="794"/>
      <c r="G2" s="794"/>
      <c r="H2" s="794"/>
      <c r="I2" s="794"/>
      <c r="J2" s="794"/>
      <c r="K2" s="794"/>
      <c r="L2" s="794"/>
      <c r="M2" s="794"/>
      <c r="N2" s="794"/>
      <c r="O2" s="794"/>
      <c r="P2" s="794"/>
      <c r="Q2" s="794"/>
      <c r="R2" s="795"/>
      <c r="T2" s="6"/>
      <c r="U2" s="6"/>
    </row>
    <row r="3" spans="1:25" s="2" customFormat="1" ht="18.75" customHeight="1">
      <c r="A3" s="796" t="s">
        <v>9</v>
      </c>
      <c r="B3" s="719"/>
      <c r="C3" s="797" t="s">
        <v>78</v>
      </c>
      <c r="D3" s="797"/>
      <c r="E3" s="797"/>
      <c r="F3" s="797"/>
      <c r="G3" s="797"/>
      <c r="H3" s="797"/>
      <c r="I3" s="797"/>
      <c r="J3" s="797"/>
      <c r="K3" s="797"/>
      <c r="L3" s="797"/>
      <c r="M3" s="797"/>
      <c r="N3" s="797"/>
      <c r="O3" s="797"/>
      <c r="P3" s="797"/>
      <c r="Q3" s="797"/>
      <c r="R3" s="798"/>
      <c r="T3" s="6"/>
      <c r="U3" s="6"/>
    </row>
    <row r="4" spans="1:25" s="2" customFormat="1" ht="17.25" customHeight="1">
      <c r="A4" s="796" t="s">
        <v>15</v>
      </c>
      <c r="B4" s="719"/>
      <c r="C4" s="799" t="s">
        <v>77</v>
      </c>
      <c r="D4" s="799"/>
      <c r="E4" s="799"/>
      <c r="F4" s="799"/>
      <c r="G4" s="799"/>
      <c r="H4" s="799"/>
      <c r="I4" s="799"/>
      <c r="J4" s="799"/>
      <c r="K4" s="799"/>
      <c r="L4" s="799"/>
      <c r="M4" s="799"/>
      <c r="N4" s="799"/>
      <c r="O4" s="799"/>
      <c r="P4" s="799"/>
      <c r="Q4" s="799"/>
      <c r="R4" s="800"/>
      <c r="T4" s="6"/>
      <c r="U4" s="6"/>
    </row>
    <row r="5" spans="1:25" s="2" customFormat="1" ht="13.8">
      <c r="A5" s="274"/>
      <c r="B5" s="273" t="s">
        <v>11</v>
      </c>
      <c r="C5" s="272"/>
      <c r="D5" s="706">
        <v>43759</v>
      </c>
      <c r="E5" s="706"/>
      <c r="F5" s="706"/>
      <c r="G5" s="706"/>
      <c r="H5" s="706"/>
      <c r="I5" s="706"/>
      <c r="J5" s="706"/>
      <c r="K5" s="706"/>
      <c r="L5" s="706"/>
      <c r="M5" s="706"/>
      <c r="N5" s="706"/>
      <c r="O5" s="706"/>
      <c r="P5" s="706"/>
      <c r="Q5" s="706"/>
      <c r="R5" s="801"/>
      <c r="T5" s="6"/>
      <c r="U5" s="6"/>
    </row>
    <row r="6" spans="1:25" s="2" customFormat="1" ht="13.8">
      <c r="A6" s="270"/>
      <c r="B6" s="269" t="s">
        <v>12</v>
      </c>
      <c r="C6" s="271"/>
      <c r="D6" s="710" t="s">
        <v>85</v>
      </c>
      <c r="E6" s="710"/>
      <c r="F6" s="710"/>
      <c r="G6" s="710"/>
      <c r="H6" s="710"/>
      <c r="I6" s="710"/>
      <c r="J6" s="710"/>
      <c r="K6" s="710"/>
      <c r="L6" s="710"/>
      <c r="M6" s="710"/>
      <c r="N6" s="710"/>
      <c r="O6" s="710"/>
      <c r="P6" s="710"/>
      <c r="Q6" s="710"/>
      <c r="R6" s="789"/>
      <c r="T6" s="6"/>
      <c r="U6" s="6"/>
    </row>
    <row r="7" spans="1:25" s="2" customFormat="1" ht="13.8">
      <c r="A7" s="270"/>
      <c r="B7" s="269" t="s">
        <v>13</v>
      </c>
      <c r="C7" s="271"/>
      <c r="D7" s="708" t="s">
        <v>86</v>
      </c>
      <c r="E7" s="708"/>
      <c r="F7" s="708"/>
      <c r="G7" s="708"/>
      <c r="H7" s="708"/>
      <c r="I7" s="708"/>
      <c r="J7" s="708"/>
      <c r="K7" s="708"/>
      <c r="L7" s="708"/>
      <c r="M7" s="708"/>
      <c r="N7" s="708"/>
      <c r="O7" s="708"/>
      <c r="P7" s="708"/>
      <c r="Q7" s="708"/>
      <c r="R7" s="802"/>
      <c r="T7" s="6"/>
      <c r="U7" s="6"/>
    </row>
    <row r="8" spans="1:25" s="2" customFormat="1" ht="13.8">
      <c r="A8" s="270"/>
      <c r="B8" s="269" t="s">
        <v>14</v>
      </c>
      <c r="C8" s="271"/>
      <c r="D8" s="710">
        <f>600+D5</f>
        <v>44359</v>
      </c>
      <c r="E8" s="710"/>
      <c r="F8" s="710"/>
      <c r="G8" s="710"/>
      <c r="H8" s="710"/>
      <c r="I8" s="710"/>
      <c r="J8" s="710"/>
      <c r="K8" s="710"/>
      <c r="L8" s="710"/>
      <c r="M8" s="710"/>
      <c r="N8" s="710"/>
      <c r="O8" s="710"/>
      <c r="P8" s="710"/>
      <c r="Q8" s="710"/>
      <c r="R8" s="789"/>
      <c r="T8" s="6"/>
      <c r="U8" s="6"/>
    </row>
    <row r="9" spans="1:25" s="2" customFormat="1" ht="13.8">
      <c r="A9" s="270"/>
      <c r="B9" s="269" t="s">
        <v>88</v>
      </c>
      <c r="C9" s="271"/>
      <c r="D9" s="710" t="s">
        <v>87</v>
      </c>
      <c r="E9" s="710"/>
      <c r="F9" s="710"/>
      <c r="G9" s="710"/>
      <c r="H9" s="710"/>
      <c r="I9" s="710"/>
      <c r="J9" s="710"/>
      <c r="K9" s="710"/>
      <c r="L9" s="710"/>
      <c r="M9" s="710"/>
      <c r="N9" s="710"/>
      <c r="O9" s="710"/>
      <c r="P9" s="710"/>
      <c r="Q9" s="710"/>
      <c r="R9" s="789"/>
      <c r="T9" s="6"/>
      <c r="U9" s="6"/>
    </row>
    <row r="10" spans="1:25" s="2" customFormat="1" ht="13.8">
      <c r="A10" s="270"/>
      <c r="B10" s="269" t="s">
        <v>79</v>
      </c>
      <c r="C10" s="128"/>
      <c r="D10" s="710">
        <v>44570</v>
      </c>
      <c r="E10" s="710"/>
      <c r="F10" s="710"/>
      <c r="G10" s="710"/>
      <c r="H10" s="710"/>
      <c r="I10" s="710"/>
      <c r="J10" s="710"/>
      <c r="K10" s="710"/>
      <c r="L10" s="710"/>
      <c r="M10" s="710"/>
      <c r="N10" s="710"/>
      <c r="O10" s="710"/>
      <c r="P10" s="710"/>
      <c r="Q10" s="710"/>
      <c r="R10" s="789"/>
      <c r="T10" s="6"/>
      <c r="U10" s="6"/>
    </row>
    <row r="11" spans="1:25" s="2" customFormat="1" ht="13.8">
      <c r="A11" s="438"/>
      <c r="B11" s="268" t="s">
        <v>196</v>
      </c>
      <c r="C11" s="4"/>
      <c r="D11" s="775">
        <v>0</v>
      </c>
      <c r="E11" s="775"/>
      <c r="F11" s="775"/>
      <c r="G11" s="775"/>
      <c r="H11" s="775"/>
      <c r="I11" s="775"/>
      <c r="J11" s="775"/>
      <c r="K11" s="775"/>
      <c r="L11" s="775"/>
      <c r="M11" s="775"/>
      <c r="N11" s="775"/>
      <c r="O11" s="775"/>
      <c r="P11" s="775"/>
      <c r="Q11" s="775"/>
      <c r="R11" s="776"/>
      <c r="T11" s="6"/>
      <c r="U11" s="6"/>
    </row>
    <row r="12" spans="1:25" s="20" customFormat="1" ht="20.25" customHeight="1">
      <c r="A12" s="777" t="s">
        <v>2</v>
      </c>
      <c r="B12" s="728" t="s">
        <v>0</v>
      </c>
      <c r="C12" s="732" t="s">
        <v>3</v>
      </c>
      <c r="D12" s="732"/>
      <c r="E12" s="732"/>
      <c r="F12" s="732"/>
      <c r="G12" s="780" t="s">
        <v>80</v>
      </c>
      <c r="H12" s="781"/>
      <c r="I12" s="781"/>
      <c r="J12" s="782"/>
      <c r="K12" s="732" t="s">
        <v>195</v>
      </c>
      <c r="L12" s="732"/>
      <c r="M12" s="805" t="s">
        <v>194</v>
      </c>
      <c r="N12" s="806"/>
      <c r="O12" s="732" t="s">
        <v>161</v>
      </c>
      <c r="P12" s="732"/>
      <c r="Q12" s="780" t="s">
        <v>193</v>
      </c>
      <c r="R12" s="807"/>
      <c r="T12" s="507"/>
      <c r="U12" s="507"/>
    </row>
    <row r="13" spans="1:25" s="20" customFormat="1" ht="12.75" customHeight="1">
      <c r="A13" s="777"/>
      <c r="B13" s="728"/>
      <c r="C13" s="732" t="s">
        <v>5</v>
      </c>
      <c r="D13" s="732"/>
      <c r="E13" s="728" t="s">
        <v>1</v>
      </c>
      <c r="F13" s="728" t="s">
        <v>6</v>
      </c>
      <c r="G13" s="773" t="s">
        <v>81</v>
      </c>
      <c r="H13" s="773" t="s">
        <v>82</v>
      </c>
      <c r="I13" s="773" t="s">
        <v>192</v>
      </c>
      <c r="J13" s="729" t="s">
        <v>4</v>
      </c>
      <c r="K13" s="728" t="s">
        <v>1</v>
      </c>
      <c r="L13" s="436" t="s">
        <v>189</v>
      </c>
      <c r="M13" s="728" t="s">
        <v>1</v>
      </c>
      <c r="N13" s="436" t="s">
        <v>189</v>
      </c>
      <c r="O13" s="728" t="s">
        <v>1</v>
      </c>
      <c r="P13" s="436" t="s">
        <v>189</v>
      </c>
      <c r="Q13" s="728" t="s">
        <v>191</v>
      </c>
      <c r="R13" s="787" t="s">
        <v>190</v>
      </c>
      <c r="T13" s="507"/>
      <c r="U13" s="507"/>
    </row>
    <row r="14" spans="1:25" s="20" customFormat="1" ht="33.75" customHeight="1">
      <c r="A14" s="778"/>
      <c r="B14" s="729"/>
      <c r="C14" s="21" t="s">
        <v>7</v>
      </c>
      <c r="D14" s="21" t="s">
        <v>8</v>
      </c>
      <c r="E14" s="729"/>
      <c r="F14" s="729"/>
      <c r="G14" s="774"/>
      <c r="H14" s="774"/>
      <c r="I14" s="774"/>
      <c r="J14" s="770"/>
      <c r="K14" s="729"/>
      <c r="L14" s="21" t="s">
        <v>8</v>
      </c>
      <c r="M14" s="729"/>
      <c r="N14" s="21" t="s">
        <v>8</v>
      </c>
      <c r="O14" s="729"/>
      <c r="P14" s="21" t="s">
        <v>8</v>
      </c>
      <c r="Q14" s="729"/>
      <c r="R14" s="788" t="s">
        <v>188</v>
      </c>
      <c r="S14" s="508"/>
      <c r="T14" s="509"/>
      <c r="U14" s="507"/>
    </row>
    <row r="15" spans="1:25" ht="13.8">
      <c r="A15" s="229"/>
      <c r="B15" s="510" t="s">
        <v>26</v>
      </c>
      <c r="C15" s="227"/>
      <c r="D15" s="511"/>
      <c r="E15" s="511"/>
      <c r="F15" s="512"/>
      <c r="G15" s="513"/>
      <c r="H15" s="513"/>
      <c r="I15" s="513"/>
      <c r="J15" s="514"/>
      <c r="K15" s="512"/>
      <c r="L15" s="515"/>
      <c r="M15" s="515"/>
      <c r="N15" s="515"/>
      <c r="O15" s="515"/>
      <c r="P15" s="515"/>
      <c r="Q15" s="515"/>
      <c r="R15" s="516"/>
    </row>
    <row r="16" spans="1:25" ht="13.8">
      <c r="A16" s="313">
        <v>1</v>
      </c>
      <c r="B16" s="24" t="s">
        <v>17</v>
      </c>
      <c r="C16" s="25" t="s">
        <v>18</v>
      </c>
      <c r="D16" s="517">
        <v>47860.38</v>
      </c>
      <c r="E16" s="517">
        <v>0.5</v>
      </c>
      <c r="F16" s="518">
        <f t="shared" ref="F16:F21" si="0">D16*E16</f>
        <v>23930.19</v>
      </c>
      <c r="G16" s="519">
        <v>0</v>
      </c>
      <c r="H16" s="520">
        <v>0.5</v>
      </c>
      <c r="I16" s="520">
        <f t="shared" ref="I16:I21" si="1">+H16*D16</f>
        <v>23930.19</v>
      </c>
      <c r="J16" s="521">
        <f>H16/F16</f>
        <v>0</v>
      </c>
      <c r="K16" s="522"/>
      <c r="L16" s="523"/>
      <c r="M16" s="522"/>
      <c r="N16" s="523">
        <f t="shared" ref="N16:N21" si="2">ROUND(M16*D16,2)</f>
        <v>0</v>
      </c>
      <c r="O16" s="522" t="str">
        <f t="shared" ref="O16:O34" si="3">IF(M16+K16=0,"",M16+K16)</f>
        <v/>
      </c>
      <c r="P16" s="523">
        <f t="shared" ref="P16:P21" si="4">L16+N16</f>
        <v>0</v>
      </c>
      <c r="Q16" s="522">
        <f t="shared" ref="Q16:Q21" si="5">IF(ISERROR(N16/I16),"",ROUND(N16/I16*100,2))</f>
        <v>0</v>
      </c>
      <c r="R16" s="524">
        <f t="shared" ref="R16:R21" si="6">IF(ISERROR(P16/I16),"",ROUND(P16/I16*100,2))</f>
        <v>0</v>
      </c>
      <c r="S16" s="28"/>
      <c r="T16" s="146"/>
      <c r="W16" s="525"/>
      <c r="X16" s="525"/>
      <c r="Y16" s="526"/>
    </row>
    <row r="17" spans="1:33" ht="13.8">
      <c r="A17" s="239">
        <f>1+A16</f>
        <v>2</v>
      </c>
      <c r="B17" s="26" t="s">
        <v>19</v>
      </c>
      <c r="C17" s="27" t="s">
        <v>20</v>
      </c>
      <c r="D17" s="527">
        <v>4767.6099999999997</v>
      </c>
      <c r="E17" s="527">
        <v>5.57</v>
      </c>
      <c r="F17" s="528">
        <f t="shared" si="0"/>
        <v>26555.59</v>
      </c>
      <c r="G17" s="529">
        <f>+H17-E17</f>
        <v>0</v>
      </c>
      <c r="H17" s="530">
        <v>5.57</v>
      </c>
      <c r="I17" s="530">
        <f t="shared" si="1"/>
        <v>26555.59</v>
      </c>
      <c r="J17" s="531"/>
      <c r="K17" s="529"/>
      <c r="L17" s="532"/>
      <c r="M17" s="533"/>
      <c r="N17" s="532">
        <f t="shared" si="2"/>
        <v>0</v>
      </c>
      <c r="O17" s="533" t="str">
        <f t="shared" si="3"/>
        <v/>
      </c>
      <c r="P17" s="532">
        <f t="shared" si="4"/>
        <v>0</v>
      </c>
      <c r="Q17" s="533">
        <f t="shared" si="5"/>
        <v>0</v>
      </c>
      <c r="R17" s="534">
        <f t="shared" si="6"/>
        <v>0</v>
      </c>
      <c r="S17" s="28"/>
      <c r="T17" s="146"/>
      <c r="W17" s="525"/>
      <c r="X17" s="525"/>
      <c r="Y17" s="526"/>
    </row>
    <row r="18" spans="1:33" s="538" customFormat="1" ht="13.8">
      <c r="A18" s="239">
        <f>1+A17</f>
        <v>3</v>
      </c>
      <c r="B18" s="26" t="s">
        <v>21</v>
      </c>
      <c r="C18" s="27" t="s">
        <v>10</v>
      </c>
      <c r="D18" s="527">
        <v>15.64</v>
      </c>
      <c r="E18" s="527">
        <v>40377.64</v>
      </c>
      <c r="F18" s="528">
        <f t="shared" si="0"/>
        <v>631506.29</v>
      </c>
      <c r="G18" s="529">
        <f>+H18-E18</f>
        <v>57206.19</v>
      </c>
      <c r="H18" s="530">
        <v>97583.83</v>
      </c>
      <c r="I18" s="530">
        <f t="shared" si="1"/>
        <v>1526211.1</v>
      </c>
      <c r="J18" s="531"/>
      <c r="K18" s="533"/>
      <c r="L18" s="532"/>
      <c r="M18" s="533"/>
      <c r="N18" s="532">
        <f t="shared" si="2"/>
        <v>0</v>
      </c>
      <c r="O18" s="533" t="str">
        <f t="shared" si="3"/>
        <v/>
      </c>
      <c r="P18" s="532">
        <f t="shared" si="4"/>
        <v>0</v>
      </c>
      <c r="Q18" s="533">
        <f t="shared" si="5"/>
        <v>0</v>
      </c>
      <c r="R18" s="534">
        <f t="shared" si="6"/>
        <v>0</v>
      </c>
      <c r="S18" s="535"/>
      <c r="T18" s="535"/>
      <c r="U18" s="535"/>
      <c r="V18" s="536"/>
      <c r="W18" s="537"/>
      <c r="X18" s="537"/>
      <c r="Y18" s="526"/>
      <c r="Z18" s="536"/>
      <c r="AA18" s="536"/>
      <c r="AB18" s="536"/>
      <c r="AC18" s="536"/>
      <c r="AD18" s="536"/>
      <c r="AE18" s="536"/>
      <c r="AF18" s="536"/>
      <c r="AG18" s="536"/>
    </row>
    <row r="19" spans="1:33" s="538" customFormat="1" ht="13.8">
      <c r="A19" s="239">
        <f>1+A18</f>
        <v>4</v>
      </c>
      <c r="B19" s="26" t="s">
        <v>22</v>
      </c>
      <c r="C19" s="27" t="s">
        <v>10</v>
      </c>
      <c r="D19" s="527">
        <v>18.52</v>
      </c>
      <c r="E19" s="527">
        <v>10580</v>
      </c>
      <c r="F19" s="528">
        <f t="shared" si="0"/>
        <v>195941.6</v>
      </c>
      <c r="G19" s="529">
        <f>+H19-E19</f>
        <v>17742.57</v>
      </c>
      <c r="H19" s="530">
        <v>28322.57</v>
      </c>
      <c r="I19" s="530">
        <f t="shared" si="1"/>
        <v>524534</v>
      </c>
      <c r="J19" s="531"/>
      <c r="K19" s="539"/>
      <c r="L19" s="540"/>
      <c r="M19" s="539"/>
      <c r="N19" s="540">
        <f t="shared" si="2"/>
        <v>0</v>
      </c>
      <c r="O19" s="539" t="str">
        <f t="shared" si="3"/>
        <v/>
      </c>
      <c r="P19" s="540">
        <f t="shared" si="4"/>
        <v>0</v>
      </c>
      <c r="Q19" s="533">
        <f t="shared" si="5"/>
        <v>0</v>
      </c>
      <c r="R19" s="534">
        <f t="shared" si="6"/>
        <v>0</v>
      </c>
      <c r="S19" s="535"/>
      <c r="T19" s="535"/>
      <c r="U19" s="535"/>
      <c r="V19" s="536"/>
      <c r="W19" s="537"/>
      <c r="X19" s="537"/>
      <c r="Y19" s="526"/>
      <c r="Z19" s="536"/>
      <c r="AA19" s="536"/>
      <c r="AB19" s="536"/>
      <c r="AC19" s="536"/>
      <c r="AD19" s="536"/>
      <c r="AE19" s="536"/>
      <c r="AF19" s="536"/>
      <c r="AG19" s="536"/>
    </row>
    <row r="20" spans="1:33" ht="13.8">
      <c r="A20" s="239">
        <f>1+A19</f>
        <v>5</v>
      </c>
      <c r="B20" s="8" t="s">
        <v>23</v>
      </c>
      <c r="C20" s="27" t="s">
        <v>10</v>
      </c>
      <c r="D20" s="527">
        <v>57.61</v>
      </c>
      <c r="E20" s="527">
        <v>11436.25</v>
      </c>
      <c r="F20" s="528">
        <f t="shared" si="0"/>
        <v>658842.36</v>
      </c>
      <c r="G20" s="529">
        <f>+H20-E20</f>
        <v>-2950.25</v>
      </c>
      <c r="H20" s="530">
        <v>8486</v>
      </c>
      <c r="I20" s="530">
        <f t="shared" si="1"/>
        <v>488878.46</v>
      </c>
      <c r="J20" s="531"/>
      <c r="K20" s="540"/>
      <c r="L20" s="540"/>
      <c r="M20" s="540"/>
      <c r="N20" s="540">
        <f t="shared" si="2"/>
        <v>0</v>
      </c>
      <c r="O20" s="539" t="str">
        <f t="shared" si="3"/>
        <v/>
      </c>
      <c r="P20" s="540">
        <f t="shared" si="4"/>
        <v>0</v>
      </c>
      <c r="Q20" s="533">
        <f t="shared" si="5"/>
        <v>0</v>
      </c>
      <c r="R20" s="534">
        <f t="shared" si="6"/>
        <v>0</v>
      </c>
      <c r="S20" s="28"/>
      <c r="T20" s="146"/>
      <c r="U20" s="146"/>
      <c r="V20" s="28"/>
      <c r="W20" s="525"/>
      <c r="X20" s="525"/>
      <c r="Y20" s="526"/>
      <c r="Z20" s="28"/>
      <c r="AA20" s="28"/>
      <c r="AB20" s="28"/>
      <c r="AC20" s="28"/>
      <c r="AD20" s="28"/>
      <c r="AE20" s="28"/>
      <c r="AF20" s="28"/>
      <c r="AG20" s="28"/>
    </row>
    <row r="21" spans="1:33" ht="13.8">
      <c r="A21" s="323">
        <f>1+A20</f>
        <v>6</v>
      </c>
      <c r="B21" s="9" t="s">
        <v>24</v>
      </c>
      <c r="C21" s="29" t="s">
        <v>25</v>
      </c>
      <c r="D21" s="541">
        <v>4.8600000000000003</v>
      </c>
      <c r="E21" s="541">
        <v>40296</v>
      </c>
      <c r="F21" s="542">
        <f t="shared" si="0"/>
        <v>195838.56</v>
      </c>
      <c r="G21" s="543">
        <f>+H21-E21</f>
        <v>35000</v>
      </c>
      <c r="H21" s="544">
        <v>75296</v>
      </c>
      <c r="I21" s="544">
        <f t="shared" si="1"/>
        <v>365938.56</v>
      </c>
      <c r="J21" s="545"/>
      <c r="K21" s="546"/>
      <c r="L21" s="547"/>
      <c r="M21" s="548"/>
      <c r="N21" s="547">
        <f t="shared" si="2"/>
        <v>0</v>
      </c>
      <c r="O21" s="548" t="str">
        <f t="shared" si="3"/>
        <v/>
      </c>
      <c r="P21" s="547">
        <f t="shared" si="4"/>
        <v>0</v>
      </c>
      <c r="Q21" s="549">
        <f t="shared" si="5"/>
        <v>0</v>
      </c>
      <c r="R21" s="550">
        <f t="shared" si="6"/>
        <v>0</v>
      </c>
      <c r="S21" s="28"/>
      <c r="T21" s="146"/>
      <c r="U21" s="146"/>
      <c r="V21" s="30"/>
      <c r="W21" s="525"/>
      <c r="X21" s="525"/>
      <c r="Y21" s="526"/>
      <c r="Z21" s="28"/>
      <c r="AA21" s="28"/>
      <c r="AB21" s="28"/>
      <c r="AC21" s="28"/>
      <c r="AD21" s="28"/>
      <c r="AE21" s="28"/>
      <c r="AF21" s="28"/>
      <c r="AG21" s="28"/>
    </row>
    <row r="22" spans="1:33" ht="13.8">
      <c r="A22" s="229"/>
      <c r="B22" s="551" t="s">
        <v>27</v>
      </c>
      <c r="C22" s="227"/>
      <c r="D22" s="513"/>
      <c r="E22" s="513"/>
      <c r="F22" s="552"/>
      <c r="G22" s="513"/>
      <c r="H22" s="552"/>
      <c r="I22" s="552"/>
      <c r="J22" s="514"/>
      <c r="K22" s="553"/>
      <c r="L22" s="554"/>
      <c r="M22" s="554"/>
      <c r="N22" s="554"/>
      <c r="O22" s="554" t="str">
        <f t="shared" si="3"/>
        <v/>
      </c>
      <c r="P22" s="553"/>
      <c r="Q22" s="515"/>
      <c r="R22" s="516"/>
      <c r="S22" s="28"/>
      <c r="T22" s="146"/>
      <c r="U22" s="146"/>
      <c r="V22" s="31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</row>
    <row r="23" spans="1:33" ht="12.75" customHeight="1">
      <c r="A23" s="313">
        <v>7</v>
      </c>
      <c r="B23" s="24" t="s">
        <v>28</v>
      </c>
      <c r="C23" s="25" t="s">
        <v>10</v>
      </c>
      <c r="D23" s="517">
        <v>61.39</v>
      </c>
      <c r="E23" s="517">
        <v>23213.09</v>
      </c>
      <c r="F23" s="518">
        <f>D23*E23</f>
        <v>1425051.6</v>
      </c>
      <c r="G23" s="519">
        <f>+H23-E23</f>
        <v>0</v>
      </c>
      <c r="H23" s="520">
        <v>23213.09</v>
      </c>
      <c r="I23" s="520">
        <f>+H23*D23</f>
        <v>1425051.6</v>
      </c>
      <c r="J23" s="555"/>
      <c r="K23" s="556"/>
      <c r="L23" s="557"/>
      <c r="M23" s="557"/>
      <c r="N23" s="557">
        <f t="shared" ref="N23:N25" si="7">ROUND(M23*D23,2)</f>
        <v>0</v>
      </c>
      <c r="O23" s="557" t="str">
        <f t="shared" si="3"/>
        <v/>
      </c>
      <c r="P23" s="556">
        <f>L23+N23</f>
        <v>0</v>
      </c>
      <c r="Q23" s="522">
        <f>IF(ISERROR(N23/I23),"",ROUND(N23/I23*100,2))</f>
        <v>0</v>
      </c>
      <c r="R23" s="524">
        <f>IF(ISERROR(P23/I23),"",ROUND(P23/I23*100,2))</f>
        <v>0</v>
      </c>
      <c r="S23" s="28"/>
      <c r="T23" s="146"/>
      <c r="U23" s="55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</row>
    <row r="24" spans="1:33" ht="13.8">
      <c r="A24" s="239">
        <v>8</v>
      </c>
      <c r="B24" s="26" t="s">
        <v>29</v>
      </c>
      <c r="C24" s="27" t="s">
        <v>10</v>
      </c>
      <c r="D24" s="527">
        <v>18.55</v>
      </c>
      <c r="E24" s="527">
        <v>24098.81</v>
      </c>
      <c r="F24" s="528">
        <f>D24*E24</f>
        <v>447032.93</v>
      </c>
      <c r="G24" s="529">
        <f>+H24-E24</f>
        <v>0</v>
      </c>
      <c r="H24" s="530">
        <v>24098.81</v>
      </c>
      <c r="I24" s="530">
        <f>+H24*D24</f>
        <v>447032.93</v>
      </c>
      <c r="J24" s="531"/>
      <c r="K24" s="540"/>
      <c r="L24" s="539"/>
      <c r="M24" s="539"/>
      <c r="N24" s="539">
        <f t="shared" si="7"/>
        <v>0</v>
      </c>
      <c r="O24" s="539" t="str">
        <f t="shared" si="3"/>
        <v/>
      </c>
      <c r="P24" s="540">
        <f>L24+N24</f>
        <v>0</v>
      </c>
      <c r="Q24" s="533">
        <f>IF(ISERROR(N24/I24),"",ROUND(N24/I24*100,2))</f>
        <v>0</v>
      </c>
      <c r="R24" s="534">
        <f>IF(ISERROR(P24/I24),"",ROUND(P24/I24*100,2))</f>
        <v>0</v>
      </c>
      <c r="S24" s="28"/>
      <c r="T24" s="146"/>
      <c r="U24" s="55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</row>
    <row r="25" spans="1:33" ht="13.8">
      <c r="A25" s="323">
        <v>9</v>
      </c>
      <c r="B25" s="32" t="s">
        <v>30</v>
      </c>
      <c r="C25" s="29" t="s">
        <v>18</v>
      </c>
      <c r="D25" s="541">
        <v>44453.32</v>
      </c>
      <c r="E25" s="541">
        <v>0.4</v>
      </c>
      <c r="F25" s="559">
        <f>D25*E25</f>
        <v>17781.330000000002</v>
      </c>
      <c r="G25" s="543">
        <f>+H25-E25</f>
        <v>0</v>
      </c>
      <c r="H25" s="544">
        <v>0.4</v>
      </c>
      <c r="I25" s="544">
        <f>+H25*D25</f>
        <v>17781.330000000002</v>
      </c>
      <c r="J25" s="545"/>
      <c r="K25" s="547"/>
      <c r="L25" s="548"/>
      <c r="M25" s="547"/>
      <c r="N25" s="548">
        <f t="shared" si="7"/>
        <v>0</v>
      </c>
      <c r="O25" s="547" t="str">
        <f t="shared" si="3"/>
        <v/>
      </c>
      <c r="P25" s="547">
        <f>L25+N25</f>
        <v>0</v>
      </c>
      <c r="Q25" s="549">
        <f>IF(ISERROR(N25/I25),"",ROUND(N25/I25*100,2))</f>
        <v>0</v>
      </c>
      <c r="R25" s="550">
        <f>IF(ISERROR(P25/I25),"",ROUND(P25/I25*100,2))</f>
        <v>0</v>
      </c>
      <c r="S25" s="28"/>
      <c r="T25" s="146"/>
      <c r="U25" s="146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</row>
    <row r="26" spans="1:33" ht="13.5" customHeight="1">
      <c r="A26" s="229"/>
      <c r="B26" s="510" t="s">
        <v>31</v>
      </c>
      <c r="C26" s="227"/>
      <c r="D26" s="513"/>
      <c r="E26" s="513"/>
      <c r="F26" s="552"/>
      <c r="G26" s="513"/>
      <c r="H26" s="552"/>
      <c r="I26" s="552"/>
      <c r="J26" s="514"/>
      <c r="K26" s="560"/>
      <c r="L26" s="554"/>
      <c r="M26" s="554"/>
      <c r="N26" s="554"/>
      <c r="O26" s="553" t="str">
        <f t="shared" si="3"/>
        <v/>
      </c>
      <c r="P26" s="553"/>
      <c r="Q26" s="515"/>
      <c r="R26" s="516"/>
      <c r="S26" s="28"/>
      <c r="T26" s="146"/>
      <c r="U26" s="146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</row>
    <row r="27" spans="1:33" ht="13.8">
      <c r="A27" s="313">
        <v>10</v>
      </c>
      <c r="B27" s="24" t="s">
        <v>32</v>
      </c>
      <c r="C27" s="25" t="s">
        <v>18</v>
      </c>
      <c r="D27" s="517">
        <v>3848.37</v>
      </c>
      <c r="E27" s="517">
        <v>0.2</v>
      </c>
      <c r="F27" s="518">
        <f t="shared" ref="F27:F40" si="8">D27*E27</f>
        <v>769.67</v>
      </c>
      <c r="G27" s="519">
        <f t="shared" ref="G27:G40" si="9">+H27-E27</f>
        <v>0</v>
      </c>
      <c r="H27" s="520">
        <v>0.2</v>
      </c>
      <c r="I27" s="520">
        <f t="shared" ref="I27:I40" si="10">+H27*D27</f>
        <v>769.67</v>
      </c>
      <c r="J27" s="555"/>
      <c r="K27" s="561"/>
      <c r="L27" s="557"/>
      <c r="M27" s="557"/>
      <c r="N27" s="557">
        <f t="shared" ref="N27:N40" si="11">ROUND(M27*D27,2)</f>
        <v>0</v>
      </c>
      <c r="O27" s="556" t="str">
        <f t="shared" si="3"/>
        <v/>
      </c>
      <c r="P27" s="556">
        <f t="shared" ref="P27:P40" si="12">L27+N27</f>
        <v>0</v>
      </c>
      <c r="Q27" s="522">
        <f t="shared" ref="Q27:Q40" si="13">IF(ISERROR(N27/I27),"",ROUND(N27/I27*100,2))</f>
        <v>0</v>
      </c>
      <c r="R27" s="524">
        <f t="shared" ref="R27:R40" si="14">IF(ISERROR(P27/I27),"",ROUND(P27/I27*100,2))</f>
        <v>0</v>
      </c>
      <c r="S27" s="146"/>
      <c r="T27" s="146"/>
      <c r="U27" s="146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</row>
    <row r="28" spans="1:33" s="538" customFormat="1" ht="13.8">
      <c r="A28" s="239">
        <f t="shared" ref="A28:A40" si="15">1+A27</f>
        <v>11</v>
      </c>
      <c r="B28" s="26" t="s">
        <v>33</v>
      </c>
      <c r="C28" s="27" t="s">
        <v>10</v>
      </c>
      <c r="D28" s="527">
        <v>27.03</v>
      </c>
      <c r="E28" s="527">
        <v>7899.85</v>
      </c>
      <c r="F28" s="528">
        <f t="shared" si="8"/>
        <v>213532.95</v>
      </c>
      <c r="G28" s="529">
        <f t="shared" si="9"/>
        <v>0</v>
      </c>
      <c r="H28" s="530">
        <v>7899.85</v>
      </c>
      <c r="I28" s="530">
        <f t="shared" si="10"/>
        <v>213532.95</v>
      </c>
      <c r="J28" s="531"/>
      <c r="K28" s="562"/>
      <c r="L28" s="539"/>
      <c r="M28" s="539"/>
      <c r="N28" s="539">
        <f t="shared" si="11"/>
        <v>0</v>
      </c>
      <c r="O28" s="540" t="str">
        <f t="shared" si="3"/>
        <v/>
      </c>
      <c r="P28" s="540">
        <f t="shared" si="12"/>
        <v>0</v>
      </c>
      <c r="Q28" s="533">
        <f t="shared" si="13"/>
        <v>0</v>
      </c>
      <c r="R28" s="534">
        <f t="shared" si="14"/>
        <v>0</v>
      </c>
      <c r="S28" s="535"/>
      <c r="T28" s="535"/>
      <c r="U28" s="563"/>
      <c r="V28" s="536"/>
    </row>
    <row r="29" spans="1:33" s="538" customFormat="1" ht="15.75" customHeight="1">
      <c r="A29" s="239">
        <f t="shared" si="15"/>
        <v>12</v>
      </c>
      <c r="B29" s="26" t="s">
        <v>34</v>
      </c>
      <c r="C29" s="27" t="s">
        <v>10</v>
      </c>
      <c r="D29" s="527">
        <v>652.63</v>
      </c>
      <c r="E29" s="527">
        <v>1522.75</v>
      </c>
      <c r="F29" s="528">
        <f t="shared" si="8"/>
        <v>993792.33</v>
      </c>
      <c r="G29" s="529">
        <f t="shared" si="9"/>
        <v>3076.2</v>
      </c>
      <c r="H29" s="530">
        <v>4598.95</v>
      </c>
      <c r="I29" s="530">
        <f t="shared" si="10"/>
        <v>3001412.74</v>
      </c>
      <c r="J29" s="531"/>
      <c r="K29" s="562"/>
      <c r="L29" s="539"/>
      <c r="M29" s="539"/>
      <c r="N29" s="539">
        <f t="shared" si="11"/>
        <v>0</v>
      </c>
      <c r="O29" s="540" t="str">
        <f t="shared" si="3"/>
        <v/>
      </c>
      <c r="P29" s="564">
        <f t="shared" si="12"/>
        <v>0</v>
      </c>
      <c r="Q29" s="533">
        <f t="shared" si="13"/>
        <v>0</v>
      </c>
      <c r="R29" s="534">
        <f t="shared" si="14"/>
        <v>0</v>
      </c>
      <c r="S29" s="535"/>
      <c r="T29" s="535"/>
      <c r="U29" s="563"/>
      <c r="V29" s="536"/>
    </row>
    <row r="30" spans="1:33" s="568" customFormat="1" ht="13.8">
      <c r="A30" s="239">
        <f t="shared" si="15"/>
        <v>13</v>
      </c>
      <c r="B30" s="26" t="s">
        <v>35</v>
      </c>
      <c r="C30" s="27" t="s">
        <v>10</v>
      </c>
      <c r="D30" s="527">
        <v>1801.53</v>
      </c>
      <c r="E30" s="527">
        <v>837.96</v>
      </c>
      <c r="F30" s="528">
        <f t="shared" si="8"/>
        <v>1509610.08</v>
      </c>
      <c r="G30" s="529">
        <f t="shared" si="9"/>
        <v>-236.8</v>
      </c>
      <c r="H30" s="530">
        <v>601.16</v>
      </c>
      <c r="I30" s="530">
        <f t="shared" si="10"/>
        <v>1083007.77</v>
      </c>
      <c r="J30" s="531"/>
      <c r="K30" s="562"/>
      <c r="L30" s="539"/>
      <c r="M30" s="539"/>
      <c r="N30" s="539">
        <f t="shared" si="11"/>
        <v>0</v>
      </c>
      <c r="O30" s="540" t="str">
        <f t="shared" si="3"/>
        <v/>
      </c>
      <c r="P30" s="540">
        <f t="shared" si="12"/>
        <v>0</v>
      </c>
      <c r="Q30" s="533">
        <f t="shared" si="13"/>
        <v>0</v>
      </c>
      <c r="R30" s="534">
        <f t="shared" si="14"/>
        <v>0</v>
      </c>
      <c r="S30" s="565"/>
      <c r="T30" s="565"/>
      <c r="U30" s="566"/>
      <c r="V30" s="567"/>
    </row>
    <row r="31" spans="1:33" s="568" customFormat="1" ht="13.8">
      <c r="A31" s="239">
        <f t="shared" si="15"/>
        <v>14</v>
      </c>
      <c r="B31" s="26" t="s">
        <v>36</v>
      </c>
      <c r="C31" s="27" t="s">
        <v>46</v>
      </c>
      <c r="D31" s="527">
        <v>15.35</v>
      </c>
      <c r="E31" s="527">
        <v>108768.82</v>
      </c>
      <c r="F31" s="528">
        <f t="shared" si="8"/>
        <v>1669601.39</v>
      </c>
      <c r="G31" s="529">
        <f t="shared" si="9"/>
        <v>0</v>
      </c>
      <c r="H31" s="530">
        <v>108768.82</v>
      </c>
      <c r="I31" s="530">
        <f t="shared" si="10"/>
        <v>1669601.39</v>
      </c>
      <c r="J31" s="531"/>
      <c r="K31" s="562"/>
      <c r="L31" s="539"/>
      <c r="M31" s="539"/>
      <c r="N31" s="539">
        <f t="shared" si="11"/>
        <v>0</v>
      </c>
      <c r="O31" s="540" t="str">
        <f t="shared" si="3"/>
        <v/>
      </c>
      <c r="P31" s="540">
        <f t="shared" si="12"/>
        <v>0</v>
      </c>
      <c r="Q31" s="533">
        <f t="shared" si="13"/>
        <v>0</v>
      </c>
      <c r="R31" s="534">
        <f t="shared" si="14"/>
        <v>0</v>
      </c>
      <c r="S31" s="565"/>
      <c r="T31" s="565"/>
      <c r="U31" s="566"/>
      <c r="V31" s="567"/>
    </row>
    <row r="32" spans="1:33" s="568" customFormat="1" ht="13.8">
      <c r="A32" s="239">
        <f t="shared" si="15"/>
        <v>15</v>
      </c>
      <c r="B32" s="26" t="s">
        <v>37</v>
      </c>
      <c r="C32" s="27" t="s">
        <v>10</v>
      </c>
      <c r="D32" s="527">
        <v>79.53</v>
      </c>
      <c r="E32" s="527">
        <v>74.010000000000005</v>
      </c>
      <c r="F32" s="528">
        <f t="shared" si="8"/>
        <v>5886.02</v>
      </c>
      <c r="G32" s="529">
        <f t="shared" si="9"/>
        <v>-34.26</v>
      </c>
      <c r="H32" s="530">
        <v>39.75</v>
      </c>
      <c r="I32" s="530">
        <f t="shared" si="10"/>
        <v>3161.32</v>
      </c>
      <c r="J32" s="531"/>
      <c r="K32" s="562"/>
      <c r="L32" s="539"/>
      <c r="M32" s="539"/>
      <c r="N32" s="539">
        <f t="shared" si="11"/>
        <v>0</v>
      </c>
      <c r="O32" s="540" t="str">
        <f t="shared" si="3"/>
        <v/>
      </c>
      <c r="P32" s="540">
        <f t="shared" si="12"/>
        <v>0</v>
      </c>
      <c r="Q32" s="533">
        <f t="shared" si="13"/>
        <v>0</v>
      </c>
      <c r="R32" s="534">
        <f t="shared" si="14"/>
        <v>0</v>
      </c>
      <c r="S32" s="565"/>
      <c r="T32" s="565"/>
      <c r="U32" s="566"/>
      <c r="V32" s="567"/>
    </row>
    <row r="33" spans="1:22" s="568" customFormat="1" ht="13.8">
      <c r="A33" s="239">
        <f t="shared" si="15"/>
        <v>16</v>
      </c>
      <c r="B33" s="26" t="s">
        <v>38</v>
      </c>
      <c r="C33" s="27" t="s">
        <v>10</v>
      </c>
      <c r="D33" s="527">
        <v>59.3</v>
      </c>
      <c r="E33" s="527">
        <v>30077.59</v>
      </c>
      <c r="F33" s="528">
        <f t="shared" si="8"/>
        <v>1783601.09</v>
      </c>
      <c r="G33" s="529">
        <f t="shared" si="9"/>
        <v>-24444.22</v>
      </c>
      <c r="H33" s="530">
        <v>5633.37</v>
      </c>
      <c r="I33" s="530">
        <f t="shared" si="10"/>
        <v>334058.84000000003</v>
      </c>
      <c r="J33" s="531"/>
      <c r="K33" s="562"/>
      <c r="L33" s="539"/>
      <c r="M33" s="539"/>
      <c r="N33" s="539">
        <f t="shared" si="11"/>
        <v>0</v>
      </c>
      <c r="O33" s="540" t="str">
        <f t="shared" si="3"/>
        <v/>
      </c>
      <c r="P33" s="540">
        <f t="shared" si="12"/>
        <v>0</v>
      </c>
      <c r="Q33" s="533">
        <f t="shared" si="13"/>
        <v>0</v>
      </c>
      <c r="R33" s="534">
        <f t="shared" si="14"/>
        <v>0</v>
      </c>
      <c r="S33" s="565"/>
      <c r="T33" s="565"/>
      <c r="U33" s="566"/>
      <c r="V33" s="567"/>
    </row>
    <row r="34" spans="1:22" s="568" customFormat="1" ht="13.8">
      <c r="A34" s="239">
        <f t="shared" si="15"/>
        <v>17</v>
      </c>
      <c r="B34" s="26" t="s">
        <v>39</v>
      </c>
      <c r="C34" s="27" t="s">
        <v>25</v>
      </c>
      <c r="D34" s="527">
        <v>213.4</v>
      </c>
      <c r="E34" s="527">
        <v>384.62</v>
      </c>
      <c r="F34" s="528">
        <f t="shared" si="8"/>
        <v>82077.91</v>
      </c>
      <c r="G34" s="529">
        <f t="shared" si="9"/>
        <v>0</v>
      </c>
      <c r="H34" s="530">
        <v>384.62</v>
      </c>
      <c r="I34" s="530">
        <f t="shared" si="10"/>
        <v>82077.91</v>
      </c>
      <c r="J34" s="531"/>
      <c r="K34" s="529"/>
      <c r="L34" s="533"/>
      <c r="M34" s="533"/>
      <c r="N34" s="533">
        <f t="shared" si="11"/>
        <v>0</v>
      </c>
      <c r="O34" s="532" t="str">
        <f t="shared" si="3"/>
        <v/>
      </c>
      <c r="P34" s="532">
        <f t="shared" si="12"/>
        <v>0</v>
      </c>
      <c r="Q34" s="533">
        <f t="shared" si="13"/>
        <v>0</v>
      </c>
      <c r="R34" s="534">
        <f t="shared" si="14"/>
        <v>0</v>
      </c>
      <c r="S34" s="565"/>
      <c r="T34" s="565"/>
      <c r="U34" s="566"/>
      <c r="V34" s="567"/>
    </row>
    <row r="35" spans="1:22" ht="13.8">
      <c r="A35" s="239">
        <f t="shared" si="15"/>
        <v>18</v>
      </c>
      <c r="B35" s="26" t="s">
        <v>40</v>
      </c>
      <c r="C35" s="27" t="s">
        <v>25</v>
      </c>
      <c r="D35" s="527">
        <v>127.61</v>
      </c>
      <c r="E35" s="527">
        <v>795</v>
      </c>
      <c r="F35" s="528">
        <f t="shared" si="8"/>
        <v>101449.95</v>
      </c>
      <c r="G35" s="529">
        <f t="shared" si="9"/>
        <v>0</v>
      </c>
      <c r="H35" s="530">
        <v>795</v>
      </c>
      <c r="I35" s="530">
        <f t="shared" si="10"/>
        <v>101449.95</v>
      </c>
      <c r="J35" s="531"/>
      <c r="K35" s="569"/>
      <c r="L35" s="533"/>
      <c r="M35" s="533"/>
      <c r="N35" s="533">
        <f t="shared" si="11"/>
        <v>0</v>
      </c>
      <c r="O35" s="533"/>
      <c r="P35" s="532">
        <f t="shared" si="12"/>
        <v>0</v>
      </c>
      <c r="Q35" s="533">
        <f t="shared" si="13"/>
        <v>0</v>
      </c>
      <c r="R35" s="534">
        <f t="shared" si="14"/>
        <v>0</v>
      </c>
      <c r="S35" s="570"/>
      <c r="T35" s="146"/>
      <c r="V35" s="28"/>
    </row>
    <row r="36" spans="1:22" ht="13.8">
      <c r="A36" s="239">
        <f t="shared" si="15"/>
        <v>19</v>
      </c>
      <c r="B36" s="26" t="s">
        <v>41</v>
      </c>
      <c r="C36" s="27" t="s">
        <v>10</v>
      </c>
      <c r="D36" s="527">
        <v>474.36</v>
      </c>
      <c r="E36" s="527">
        <v>1717</v>
      </c>
      <c r="F36" s="528">
        <f t="shared" si="8"/>
        <v>814476.12</v>
      </c>
      <c r="G36" s="529">
        <f t="shared" si="9"/>
        <v>-717</v>
      </c>
      <c r="H36" s="530">
        <v>1000</v>
      </c>
      <c r="I36" s="530">
        <f t="shared" si="10"/>
        <v>474360</v>
      </c>
      <c r="J36" s="531"/>
      <c r="K36" s="530"/>
      <c r="L36" s="533"/>
      <c r="M36" s="533"/>
      <c r="N36" s="533">
        <f t="shared" si="11"/>
        <v>0</v>
      </c>
      <c r="O36" s="533" t="str">
        <f>IF(M36+K36=0,"",M36+K36)</f>
        <v/>
      </c>
      <c r="P36" s="532">
        <f t="shared" si="12"/>
        <v>0</v>
      </c>
      <c r="Q36" s="533">
        <f t="shared" si="13"/>
        <v>0</v>
      </c>
      <c r="R36" s="534">
        <f t="shared" si="14"/>
        <v>0</v>
      </c>
      <c r="S36" s="570"/>
      <c r="T36" s="146"/>
      <c r="V36" s="28"/>
    </row>
    <row r="37" spans="1:22" s="568" customFormat="1" ht="13.8">
      <c r="A37" s="239">
        <f t="shared" si="15"/>
        <v>20</v>
      </c>
      <c r="B37" s="26" t="s">
        <v>42</v>
      </c>
      <c r="C37" s="27" t="s">
        <v>47</v>
      </c>
      <c r="D37" s="527">
        <v>111.72</v>
      </c>
      <c r="E37" s="527">
        <v>18000</v>
      </c>
      <c r="F37" s="528">
        <f t="shared" si="8"/>
        <v>2010960</v>
      </c>
      <c r="G37" s="529">
        <f t="shared" si="9"/>
        <v>-10989.12</v>
      </c>
      <c r="H37" s="571">
        <v>7010.8841000000002</v>
      </c>
      <c r="I37" s="530">
        <f t="shared" si="10"/>
        <v>783255.97</v>
      </c>
      <c r="J37" s="531"/>
      <c r="K37" s="569"/>
      <c r="L37" s="533"/>
      <c r="M37" s="533"/>
      <c r="N37" s="533">
        <f t="shared" si="11"/>
        <v>0</v>
      </c>
      <c r="O37" s="533" t="str">
        <f>IF(M37+K37=0,"",M37+K37)</f>
        <v/>
      </c>
      <c r="P37" s="532">
        <f t="shared" si="12"/>
        <v>0</v>
      </c>
      <c r="Q37" s="533">
        <f t="shared" si="13"/>
        <v>0</v>
      </c>
      <c r="R37" s="534">
        <f t="shared" si="14"/>
        <v>0</v>
      </c>
      <c r="S37" s="572"/>
      <c r="T37" s="565"/>
      <c r="U37" s="566"/>
      <c r="V37" s="567"/>
    </row>
    <row r="38" spans="1:22" s="568" customFormat="1" ht="13.8">
      <c r="A38" s="239">
        <f t="shared" si="15"/>
        <v>21</v>
      </c>
      <c r="B38" s="26" t="s">
        <v>43</v>
      </c>
      <c r="C38" s="27" t="s">
        <v>47</v>
      </c>
      <c r="D38" s="527">
        <v>1596.02</v>
      </c>
      <c r="E38" s="527">
        <v>343.55</v>
      </c>
      <c r="F38" s="528">
        <f t="shared" si="8"/>
        <v>548312.67000000004</v>
      </c>
      <c r="G38" s="529">
        <f t="shared" si="9"/>
        <v>0</v>
      </c>
      <c r="H38" s="530">
        <v>343.55</v>
      </c>
      <c r="I38" s="530">
        <f t="shared" si="10"/>
        <v>548312.67000000004</v>
      </c>
      <c r="J38" s="531"/>
      <c r="K38" s="569"/>
      <c r="L38" s="533"/>
      <c r="M38" s="533"/>
      <c r="N38" s="533">
        <f t="shared" si="11"/>
        <v>0</v>
      </c>
      <c r="O38" s="533" t="str">
        <f>IF(M38+K38=0,"",M38+K38)</f>
        <v/>
      </c>
      <c r="P38" s="532">
        <f t="shared" si="12"/>
        <v>0</v>
      </c>
      <c r="Q38" s="533">
        <f t="shared" si="13"/>
        <v>0</v>
      </c>
      <c r="R38" s="534">
        <f t="shared" si="14"/>
        <v>0</v>
      </c>
      <c r="S38" s="572"/>
      <c r="T38" s="565"/>
      <c r="U38" s="566"/>
      <c r="V38" s="567"/>
    </row>
    <row r="39" spans="1:22" ht="13.8">
      <c r="A39" s="239">
        <f t="shared" si="15"/>
        <v>22</v>
      </c>
      <c r="B39" s="26" t="s">
        <v>44</v>
      </c>
      <c r="C39" s="27" t="s">
        <v>10</v>
      </c>
      <c r="D39" s="527">
        <v>638.48</v>
      </c>
      <c r="E39" s="527">
        <v>70.819999999999993</v>
      </c>
      <c r="F39" s="528">
        <f t="shared" si="8"/>
        <v>45217.15</v>
      </c>
      <c r="G39" s="529">
        <f t="shared" si="9"/>
        <v>0</v>
      </c>
      <c r="H39" s="530">
        <v>70.819999999999993</v>
      </c>
      <c r="I39" s="530">
        <f t="shared" si="10"/>
        <v>45217.15</v>
      </c>
      <c r="J39" s="531"/>
      <c r="K39" s="569"/>
      <c r="L39" s="533"/>
      <c r="M39" s="533"/>
      <c r="N39" s="533">
        <f t="shared" si="11"/>
        <v>0</v>
      </c>
      <c r="O39" s="533"/>
      <c r="P39" s="532">
        <f t="shared" si="12"/>
        <v>0</v>
      </c>
      <c r="Q39" s="533">
        <f t="shared" si="13"/>
        <v>0</v>
      </c>
      <c r="R39" s="534">
        <f t="shared" si="14"/>
        <v>0</v>
      </c>
      <c r="S39" s="570"/>
      <c r="T39" s="146"/>
      <c r="V39" s="28"/>
    </row>
    <row r="40" spans="1:22" ht="13.8">
      <c r="A40" s="323">
        <f t="shared" si="15"/>
        <v>23</v>
      </c>
      <c r="B40" s="32" t="s">
        <v>45</v>
      </c>
      <c r="C40" s="29" t="s">
        <v>47</v>
      </c>
      <c r="D40" s="541">
        <v>44.35</v>
      </c>
      <c r="E40" s="541">
        <v>2726.08</v>
      </c>
      <c r="F40" s="559">
        <f t="shared" si="8"/>
        <v>120901.65</v>
      </c>
      <c r="G40" s="543">
        <f t="shared" si="9"/>
        <v>0</v>
      </c>
      <c r="H40" s="544">
        <v>2726.08</v>
      </c>
      <c r="I40" s="544">
        <f t="shared" si="10"/>
        <v>120901.65</v>
      </c>
      <c r="J40" s="545"/>
      <c r="K40" s="573"/>
      <c r="L40" s="549"/>
      <c r="M40" s="549"/>
      <c r="N40" s="549">
        <f t="shared" si="11"/>
        <v>0</v>
      </c>
      <c r="O40" s="549"/>
      <c r="P40" s="574">
        <f t="shared" si="12"/>
        <v>0</v>
      </c>
      <c r="Q40" s="549">
        <f t="shared" si="13"/>
        <v>0</v>
      </c>
      <c r="R40" s="550">
        <f t="shared" si="14"/>
        <v>0</v>
      </c>
      <c r="S40" s="570"/>
      <c r="T40" s="146"/>
      <c r="V40" s="28"/>
    </row>
    <row r="41" spans="1:22" ht="13.8">
      <c r="A41" s="229"/>
      <c r="B41" s="510" t="s">
        <v>48</v>
      </c>
      <c r="C41" s="227"/>
      <c r="D41" s="513"/>
      <c r="E41" s="513"/>
      <c r="F41" s="552"/>
      <c r="G41" s="513"/>
      <c r="H41" s="552"/>
      <c r="I41" s="552"/>
      <c r="J41" s="514"/>
      <c r="K41" s="575"/>
      <c r="L41" s="515"/>
      <c r="M41" s="515"/>
      <c r="N41" s="515"/>
      <c r="O41" s="515"/>
      <c r="P41" s="576"/>
      <c r="Q41" s="515"/>
      <c r="R41" s="516"/>
      <c r="S41" s="28"/>
      <c r="T41" s="146"/>
      <c r="V41" s="28"/>
    </row>
    <row r="42" spans="1:22" ht="13.8">
      <c r="A42" s="313">
        <v>24</v>
      </c>
      <c r="B42" s="24" t="s">
        <v>17</v>
      </c>
      <c r="C42" s="25" t="s">
        <v>18</v>
      </c>
      <c r="D42" s="517">
        <v>47860.38</v>
      </c>
      <c r="E42" s="517">
        <v>1</v>
      </c>
      <c r="F42" s="518">
        <f t="shared" ref="F42:F55" si="16">D42*E42</f>
        <v>47860.38</v>
      </c>
      <c r="G42" s="519">
        <f t="shared" ref="G42:G55" si="17">+H42-E42</f>
        <v>0</v>
      </c>
      <c r="H42" s="520">
        <v>1</v>
      </c>
      <c r="I42" s="520">
        <f t="shared" ref="I42:I55" si="18">+H42*D42</f>
        <v>47860.38</v>
      </c>
      <c r="J42" s="555"/>
      <c r="K42" s="520"/>
      <c r="L42" s="522"/>
      <c r="M42" s="522"/>
      <c r="N42" s="522">
        <f t="shared" ref="N42:N55" si="19">ROUND(M42*D42,2)</f>
        <v>0</v>
      </c>
      <c r="O42" s="522" t="str">
        <f t="shared" ref="O42:O55" si="20">IF(M42+K42=0,"",M42+K42)</f>
        <v/>
      </c>
      <c r="P42" s="523">
        <f t="shared" ref="P42:P55" si="21">L42+N42</f>
        <v>0</v>
      </c>
      <c r="Q42" s="522">
        <f t="shared" ref="Q42:Q55" si="22">IF(ISERROR(N42/I42),"",ROUND(N42/I42*100,2))</f>
        <v>0</v>
      </c>
      <c r="R42" s="524">
        <f t="shared" ref="R42:R55" si="23">IF(ISERROR(P42/I42),"",ROUND(P42/I42*100,2))</f>
        <v>0</v>
      </c>
      <c r="S42" s="28"/>
      <c r="T42" s="146"/>
    </row>
    <row r="43" spans="1:22" ht="13.8">
      <c r="A43" s="239">
        <f t="shared" ref="A43:A55" si="24">1+A42</f>
        <v>25</v>
      </c>
      <c r="B43" s="26" t="s">
        <v>32</v>
      </c>
      <c r="C43" s="27" t="s">
        <v>18</v>
      </c>
      <c r="D43" s="527">
        <v>3848.37</v>
      </c>
      <c r="E43" s="527">
        <v>1</v>
      </c>
      <c r="F43" s="528">
        <f t="shared" si="16"/>
        <v>3848.37</v>
      </c>
      <c r="G43" s="529">
        <f t="shared" si="17"/>
        <v>0</v>
      </c>
      <c r="H43" s="530">
        <v>1</v>
      </c>
      <c r="I43" s="530">
        <f t="shared" si="18"/>
        <v>3848.37</v>
      </c>
      <c r="J43" s="531"/>
      <c r="K43" s="530"/>
      <c r="L43" s="533"/>
      <c r="M43" s="533"/>
      <c r="N43" s="533">
        <f t="shared" si="19"/>
        <v>0</v>
      </c>
      <c r="O43" s="533" t="str">
        <f t="shared" si="20"/>
        <v/>
      </c>
      <c r="P43" s="532">
        <f t="shared" si="21"/>
        <v>0</v>
      </c>
      <c r="Q43" s="533">
        <f t="shared" si="22"/>
        <v>0</v>
      </c>
      <c r="R43" s="534">
        <f t="shared" si="23"/>
        <v>0</v>
      </c>
      <c r="S43" s="28"/>
      <c r="T43" s="146"/>
    </row>
    <row r="44" spans="1:22" s="538" customFormat="1" ht="13.8">
      <c r="A44" s="239">
        <f t="shared" si="24"/>
        <v>26</v>
      </c>
      <c r="B44" s="26" t="s">
        <v>49</v>
      </c>
      <c r="C44" s="27" t="s">
        <v>10</v>
      </c>
      <c r="D44" s="527">
        <v>27.03</v>
      </c>
      <c r="E44" s="527">
        <v>797</v>
      </c>
      <c r="F44" s="528">
        <f t="shared" si="16"/>
        <v>21542.91</v>
      </c>
      <c r="G44" s="529">
        <f t="shared" si="17"/>
        <v>295.10000000000002</v>
      </c>
      <c r="H44" s="530">
        <v>1092.0999999999999</v>
      </c>
      <c r="I44" s="530">
        <f t="shared" si="18"/>
        <v>29519.46</v>
      </c>
      <c r="J44" s="531"/>
      <c r="K44" s="569"/>
      <c r="L44" s="533"/>
      <c r="M44" s="533"/>
      <c r="N44" s="533">
        <f t="shared" si="19"/>
        <v>0</v>
      </c>
      <c r="O44" s="533" t="str">
        <f t="shared" si="20"/>
        <v/>
      </c>
      <c r="P44" s="532">
        <f t="shared" si="21"/>
        <v>0</v>
      </c>
      <c r="Q44" s="533">
        <f t="shared" si="22"/>
        <v>0</v>
      </c>
      <c r="R44" s="534">
        <f t="shared" si="23"/>
        <v>0</v>
      </c>
      <c r="S44" s="536"/>
      <c r="T44" s="535"/>
      <c r="U44" s="563"/>
    </row>
    <row r="45" spans="1:22" s="538" customFormat="1" ht="13.8">
      <c r="A45" s="239">
        <f t="shared" si="24"/>
        <v>27</v>
      </c>
      <c r="B45" s="26" t="s">
        <v>35</v>
      </c>
      <c r="C45" s="27" t="s">
        <v>10</v>
      </c>
      <c r="D45" s="527">
        <v>1801.53</v>
      </c>
      <c r="E45" s="527">
        <v>486.72</v>
      </c>
      <c r="F45" s="528">
        <f t="shared" si="16"/>
        <v>876840.68</v>
      </c>
      <c r="G45" s="529">
        <f t="shared" si="17"/>
        <v>150.13999999999999</v>
      </c>
      <c r="H45" s="530">
        <v>636.86</v>
      </c>
      <c r="I45" s="530">
        <f t="shared" si="18"/>
        <v>1147322.3999999999</v>
      </c>
      <c r="J45" s="531"/>
      <c r="K45" s="569"/>
      <c r="L45" s="533"/>
      <c r="M45" s="533"/>
      <c r="N45" s="533">
        <f t="shared" si="19"/>
        <v>0</v>
      </c>
      <c r="O45" s="533" t="str">
        <f t="shared" si="20"/>
        <v/>
      </c>
      <c r="P45" s="532">
        <f t="shared" si="21"/>
        <v>0</v>
      </c>
      <c r="Q45" s="533">
        <f t="shared" si="22"/>
        <v>0</v>
      </c>
      <c r="R45" s="534">
        <f t="shared" si="23"/>
        <v>0</v>
      </c>
      <c r="S45" s="536"/>
      <c r="T45" s="535"/>
      <c r="U45" s="563"/>
    </row>
    <row r="46" spans="1:22" s="538" customFormat="1" ht="13.8">
      <c r="A46" s="239">
        <f t="shared" si="24"/>
        <v>28</v>
      </c>
      <c r="B46" s="26" t="s">
        <v>36</v>
      </c>
      <c r="C46" s="27" t="s">
        <v>46</v>
      </c>
      <c r="D46" s="527">
        <v>15.35</v>
      </c>
      <c r="E46" s="527">
        <v>31927.89</v>
      </c>
      <c r="F46" s="528">
        <f t="shared" si="16"/>
        <v>490093.11</v>
      </c>
      <c r="G46" s="529">
        <f t="shared" si="17"/>
        <v>-984.49</v>
      </c>
      <c r="H46" s="530">
        <v>30943.4</v>
      </c>
      <c r="I46" s="530">
        <f t="shared" si="18"/>
        <v>474981.19</v>
      </c>
      <c r="J46" s="531"/>
      <c r="K46" s="530"/>
      <c r="L46" s="533"/>
      <c r="M46" s="533"/>
      <c r="N46" s="533">
        <f t="shared" si="19"/>
        <v>0</v>
      </c>
      <c r="O46" s="533" t="str">
        <f t="shared" si="20"/>
        <v/>
      </c>
      <c r="P46" s="532">
        <f t="shared" si="21"/>
        <v>0</v>
      </c>
      <c r="Q46" s="533">
        <f t="shared" si="22"/>
        <v>0</v>
      </c>
      <c r="R46" s="534">
        <f t="shared" si="23"/>
        <v>0</v>
      </c>
      <c r="S46" s="536"/>
      <c r="T46" s="535"/>
      <c r="U46" s="563"/>
    </row>
    <row r="47" spans="1:22" ht="13.8">
      <c r="A47" s="239">
        <f t="shared" si="24"/>
        <v>29</v>
      </c>
      <c r="B47" s="26" t="s">
        <v>50</v>
      </c>
      <c r="C47" s="27" t="s">
        <v>47</v>
      </c>
      <c r="D47" s="527">
        <v>3943.09</v>
      </c>
      <c r="E47" s="527">
        <v>105</v>
      </c>
      <c r="F47" s="528">
        <f t="shared" si="16"/>
        <v>414024.45</v>
      </c>
      <c r="G47" s="529">
        <f t="shared" si="17"/>
        <v>35</v>
      </c>
      <c r="H47" s="530">
        <v>140</v>
      </c>
      <c r="I47" s="530">
        <f t="shared" si="18"/>
        <v>552032.6</v>
      </c>
      <c r="J47" s="531"/>
      <c r="K47" s="530"/>
      <c r="L47" s="533"/>
      <c r="M47" s="533"/>
      <c r="N47" s="533">
        <f t="shared" si="19"/>
        <v>0</v>
      </c>
      <c r="O47" s="533" t="str">
        <f t="shared" si="20"/>
        <v/>
      </c>
      <c r="P47" s="532">
        <f t="shared" si="21"/>
        <v>0</v>
      </c>
      <c r="Q47" s="533">
        <f t="shared" si="22"/>
        <v>0</v>
      </c>
      <c r="R47" s="534">
        <f t="shared" si="23"/>
        <v>0</v>
      </c>
      <c r="S47" s="28"/>
      <c r="T47" s="146"/>
    </row>
    <row r="48" spans="1:22" ht="13.8">
      <c r="A48" s="239">
        <f t="shared" si="24"/>
        <v>30</v>
      </c>
      <c r="B48" s="26" t="s">
        <v>51</v>
      </c>
      <c r="C48" s="27" t="s">
        <v>58</v>
      </c>
      <c r="D48" s="527">
        <v>403.4</v>
      </c>
      <c r="E48" s="527">
        <v>48</v>
      </c>
      <c r="F48" s="528">
        <f t="shared" si="16"/>
        <v>19363.2</v>
      </c>
      <c r="G48" s="529">
        <f t="shared" si="17"/>
        <v>16</v>
      </c>
      <c r="H48" s="530">
        <v>64</v>
      </c>
      <c r="I48" s="530">
        <f t="shared" si="18"/>
        <v>25817.599999999999</v>
      </c>
      <c r="J48" s="531"/>
      <c r="K48" s="530"/>
      <c r="L48" s="533"/>
      <c r="M48" s="533"/>
      <c r="N48" s="533">
        <f t="shared" si="19"/>
        <v>0</v>
      </c>
      <c r="O48" s="533" t="str">
        <f t="shared" si="20"/>
        <v/>
      </c>
      <c r="P48" s="532">
        <f t="shared" si="21"/>
        <v>0</v>
      </c>
      <c r="Q48" s="533">
        <f t="shared" si="22"/>
        <v>0</v>
      </c>
      <c r="R48" s="534">
        <f t="shared" si="23"/>
        <v>0</v>
      </c>
      <c r="S48" s="28"/>
      <c r="T48" s="146"/>
    </row>
    <row r="49" spans="1:21" ht="13.8">
      <c r="A49" s="239">
        <f t="shared" si="24"/>
        <v>31</v>
      </c>
      <c r="B49" s="26" t="s">
        <v>52</v>
      </c>
      <c r="C49" s="27" t="s">
        <v>18</v>
      </c>
      <c r="D49" s="527">
        <v>45986.77</v>
      </c>
      <c r="E49" s="527">
        <v>0.65</v>
      </c>
      <c r="F49" s="528">
        <f t="shared" si="16"/>
        <v>29891.4</v>
      </c>
      <c r="G49" s="529">
        <f t="shared" si="17"/>
        <v>0.22</v>
      </c>
      <c r="H49" s="530">
        <v>0.87</v>
      </c>
      <c r="I49" s="530">
        <f t="shared" si="18"/>
        <v>40008.49</v>
      </c>
      <c r="J49" s="531"/>
      <c r="K49" s="530"/>
      <c r="L49" s="533"/>
      <c r="M49" s="533"/>
      <c r="N49" s="533">
        <f t="shared" si="19"/>
        <v>0</v>
      </c>
      <c r="O49" s="533" t="str">
        <f t="shared" si="20"/>
        <v/>
      </c>
      <c r="P49" s="532">
        <f t="shared" si="21"/>
        <v>0</v>
      </c>
      <c r="Q49" s="533">
        <f t="shared" si="22"/>
        <v>0</v>
      </c>
      <c r="R49" s="534">
        <f t="shared" si="23"/>
        <v>0</v>
      </c>
      <c r="S49" s="28"/>
      <c r="T49" s="146"/>
    </row>
    <row r="50" spans="1:21" ht="13.8">
      <c r="A50" s="239">
        <f t="shared" si="24"/>
        <v>32</v>
      </c>
      <c r="B50" s="26" t="s">
        <v>53</v>
      </c>
      <c r="C50" s="27" t="s">
        <v>47</v>
      </c>
      <c r="D50" s="527">
        <v>825.66</v>
      </c>
      <c r="E50" s="527">
        <v>18.2</v>
      </c>
      <c r="F50" s="528">
        <f t="shared" si="16"/>
        <v>15027.01</v>
      </c>
      <c r="G50" s="529">
        <f t="shared" si="17"/>
        <v>0</v>
      </c>
      <c r="H50" s="530">
        <v>18.2</v>
      </c>
      <c r="I50" s="530">
        <f t="shared" si="18"/>
        <v>15027.01</v>
      </c>
      <c r="J50" s="531"/>
      <c r="K50" s="530"/>
      <c r="L50" s="533"/>
      <c r="M50" s="533"/>
      <c r="N50" s="533">
        <f t="shared" si="19"/>
        <v>0</v>
      </c>
      <c r="O50" s="533" t="str">
        <f t="shared" si="20"/>
        <v/>
      </c>
      <c r="P50" s="532">
        <f t="shared" si="21"/>
        <v>0</v>
      </c>
      <c r="Q50" s="533">
        <f t="shared" si="22"/>
        <v>0</v>
      </c>
      <c r="R50" s="534">
        <f t="shared" si="23"/>
        <v>0</v>
      </c>
      <c r="S50" s="28"/>
      <c r="T50" s="146"/>
    </row>
    <row r="51" spans="1:21" ht="13.8">
      <c r="A51" s="239">
        <f t="shared" si="24"/>
        <v>33</v>
      </c>
      <c r="B51" s="26" t="s">
        <v>54</v>
      </c>
      <c r="C51" s="27" t="s">
        <v>47</v>
      </c>
      <c r="D51" s="527">
        <v>83.48</v>
      </c>
      <c r="E51" s="527">
        <v>47.3</v>
      </c>
      <c r="F51" s="528">
        <f t="shared" si="16"/>
        <v>3948.6</v>
      </c>
      <c r="G51" s="529">
        <f t="shared" si="17"/>
        <v>0</v>
      </c>
      <c r="H51" s="530">
        <v>47.3</v>
      </c>
      <c r="I51" s="530">
        <f t="shared" si="18"/>
        <v>3948.6</v>
      </c>
      <c r="J51" s="531"/>
      <c r="K51" s="530"/>
      <c r="L51" s="533"/>
      <c r="M51" s="533"/>
      <c r="N51" s="533">
        <f t="shared" si="19"/>
        <v>0</v>
      </c>
      <c r="O51" s="533" t="str">
        <f t="shared" si="20"/>
        <v/>
      </c>
      <c r="P51" s="532">
        <f t="shared" si="21"/>
        <v>0</v>
      </c>
      <c r="Q51" s="533">
        <f t="shared" si="22"/>
        <v>0</v>
      </c>
      <c r="R51" s="534">
        <f t="shared" si="23"/>
        <v>0</v>
      </c>
      <c r="S51" s="28"/>
      <c r="T51" s="146"/>
    </row>
    <row r="52" spans="1:21" ht="13.8">
      <c r="A52" s="239">
        <f t="shared" si="24"/>
        <v>34</v>
      </c>
      <c r="B52" s="26" t="s">
        <v>55</v>
      </c>
      <c r="C52" s="27" t="s">
        <v>10</v>
      </c>
      <c r="D52" s="527">
        <v>150.47999999999999</v>
      </c>
      <c r="E52" s="527">
        <v>106.76</v>
      </c>
      <c r="F52" s="528">
        <f t="shared" si="16"/>
        <v>16065.24</v>
      </c>
      <c r="G52" s="529">
        <f t="shared" si="17"/>
        <v>34.57</v>
      </c>
      <c r="H52" s="530">
        <v>141.33000000000001</v>
      </c>
      <c r="I52" s="530">
        <f t="shared" si="18"/>
        <v>21267.34</v>
      </c>
      <c r="J52" s="531"/>
      <c r="K52" s="530"/>
      <c r="L52" s="533"/>
      <c r="M52" s="533"/>
      <c r="N52" s="533">
        <f t="shared" si="19"/>
        <v>0</v>
      </c>
      <c r="O52" s="533" t="str">
        <f t="shared" si="20"/>
        <v/>
      </c>
      <c r="P52" s="532">
        <f t="shared" si="21"/>
        <v>0</v>
      </c>
      <c r="Q52" s="533">
        <f t="shared" si="22"/>
        <v>0</v>
      </c>
      <c r="R52" s="534">
        <f t="shared" si="23"/>
        <v>0</v>
      </c>
      <c r="S52" s="28"/>
      <c r="T52" s="146"/>
    </row>
    <row r="53" spans="1:21" s="538" customFormat="1" ht="13.8">
      <c r="A53" s="239">
        <f t="shared" si="24"/>
        <v>35</v>
      </c>
      <c r="B53" s="26" t="s">
        <v>44</v>
      </c>
      <c r="C53" s="27" t="s">
        <v>10</v>
      </c>
      <c r="D53" s="527">
        <v>638.48</v>
      </c>
      <c r="E53" s="527">
        <v>20.6</v>
      </c>
      <c r="F53" s="528">
        <f t="shared" si="16"/>
        <v>13152.69</v>
      </c>
      <c r="G53" s="529">
        <f t="shared" si="17"/>
        <v>2.64</v>
      </c>
      <c r="H53" s="530">
        <v>23.24</v>
      </c>
      <c r="I53" s="530">
        <f t="shared" si="18"/>
        <v>14838.28</v>
      </c>
      <c r="J53" s="531"/>
      <c r="K53" s="530"/>
      <c r="L53" s="533"/>
      <c r="M53" s="533"/>
      <c r="N53" s="533">
        <f t="shared" si="19"/>
        <v>0</v>
      </c>
      <c r="O53" s="533" t="str">
        <f t="shared" si="20"/>
        <v/>
      </c>
      <c r="P53" s="532">
        <f t="shared" si="21"/>
        <v>0</v>
      </c>
      <c r="Q53" s="533">
        <f t="shared" si="22"/>
        <v>0</v>
      </c>
      <c r="R53" s="534">
        <f t="shared" si="23"/>
        <v>0</v>
      </c>
      <c r="S53" s="536"/>
      <c r="T53" s="535"/>
      <c r="U53" s="563"/>
    </row>
    <row r="54" spans="1:21" ht="13.8">
      <c r="A54" s="239">
        <f t="shared" si="24"/>
        <v>36</v>
      </c>
      <c r="B54" s="26" t="s">
        <v>56</v>
      </c>
      <c r="C54" s="27" t="s">
        <v>10</v>
      </c>
      <c r="D54" s="527">
        <v>573.79</v>
      </c>
      <c r="E54" s="527">
        <v>476</v>
      </c>
      <c r="F54" s="528">
        <f t="shared" si="16"/>
        <v>273124.03999999998</v>
      </c>
      <c r="G54" s="529">
        <f t="shared" si="17"/>
        <v>-476</v>
      </c>
      <c r="H54" s="530">
        <v>0</v>
      </c>
      <c r="I54" s="530">
        <f t="shared" si="18"/>
        <v>0</v>
      </c>
      <c r="J54" s="531"/>
      <c r="K54" s="530"/>
      <c r="L54" s="533"/>
      <c r="M54" s="533"/>
      <c r="N54" s="533">
        <f t="shared" si="19"/>
        <v>0</v>
      </c>
      <c r="O54" s="533" t="str">
        <f t="shared" si="20"/>
        <v/>
      </c>
      <c r="P54" s="532">
        <f t="shared" si="21"/>
        <v>0</v>
      </c>
      <c r="Q54" s="533" t="str">
        <f t="shared" si="22"/>
        <v/>
      </c>
      <c r="R54" s="534" t="str">
        <f t="shared" si="23"/>
        <v/>
      </c>
      <c r="S54" s="28"/>
      <c r="T54" s="146"/>
    </row>
    <row r="55" spans="1:21" ht="13.8">
      <c r="A55" s="323">
        <f t="shared" si="24"/>
        <v>37</v>
      </c>
      <c r="B55" s="32" t="s">
        <v>57</v>
      </c>
      <c r="C55" s="29" t="s">
        <v>18</v>
      </c>
      <c r="D55" s="541">
        <v>4553.8599999999997</v>
      </c>
      <c r="E55" s="541">
        <v>1</v>
      </c>
      <c r="F55" s="577">
        <f t="shared" si="16"/>
        <v>4553.8599999999997</v>
      </c>
      <c r="G55" s="543">
        <f t="shared" si="17"/>
        <v>0</v>
      </c>
      <c r="H55" s="544">
        <v>1</v>
      </c>
      <c r="I55" s="544">
        <f t="shared" si="18"/>
        <v>4553.8599999999997</v>
      </c>
      <c r="J55" s="545"/>
      <c r="K55" s="544"/>
      <c r="L55" s="549"/>
      <c r="M55" s="549"/>
      <c r="N55" s="549">
        <f t="shared" si="19"/>
        <v>0</v>
      </c>
      <c r="O55" s="549" t="str">
        <f t="shared" si="20"/>
        <v/>
      </c>
      <c r="P55" s="574">
        <f t="shared" si="21"/>
        <v>0</v>
      </c>
      <c r="Q55" s="549">
        <f t="shared" si="22"/>
        <v>0</v>
      </c>
      <c r="R55" s="550">
        <f t="shared" si="23"/>
        <v>0</v>
      </c>
      <c r="S55" s="28"/>
      <c r="T55" s="146"/>
    </row>
    <row r="56" spans="1:21" ht="13.8">
      <c r="A56" s="229"/>
      <c r="B56" s="510" t="s">
        <v>59</v>
      </c>
      <c r="C56" s="227"/>
      <c r="D56" s="578"/>
      <c r="E56" s="578"/>
      <c r="F56" s="552"/>
      <c r="G56" s="513"/>
      <c r="H56" s="552"/>
      <c r="I56" s="552"/>
      <c r="J56" s="514"/>
      <c r="K56" s="575"/>
      <c r="L56" s="515"/>
      <c r="M56" s="515"/>
      <c r="N56" s="515"/>
      <c r="O56" s="515"/>
      <c r="P56" s="576"/>
      <c r="Q56" s="515"/>
      <c r="R56" s="516"/>
      <c r="S56" s="28"/>
      <c r="T56" s="146"/>
    </row>
    <row r="57" spans="1:21" ht="13.8">
      <c r="A57" s="313">
        <v>38</v>
      </c>
      <c r="B57" s="24" t="s">
        <v>17</v>
      </c>
      <c r="C57" s="25" t="s">
        <v>18</v>
      </c>
      <c r="D57" s="517">
        <v>47860.38</v>
      </c>
      <c r="E57" s="517">
        <v>1</v>
      </c>
      <c r="F57" s="518">
        <f t="shared" ref="F57:F68" si="25">D57*E57</f>
        <v>47860.38</v>
      </c>
      <c r="G57" s="519">
        <f t="shared" ref="G57:G68" si="26">+H57-E57</f>
        <v>0</v>
      </c>
      <c r="H57" s="520">
        <v>1</v>
      </c>
      <c r="I57" s="520">
        <f t="shared" ref="I57:I68" si="27">+H57*D57</f>
        <v>47860.38</v>
      </c>
      <c r="J57" s="555"/>
      <c r="K57" s="520"/>
      <c r="L57" s="522"/>
      <c r="M57" s="522"/>
      <c r="N57" s="522">
        <f t="shared" ref="N57:N68" si="28">ROUND(M57*D57,2)</f>
        <v>0</v>
      </c>
      <c r="O57" s="522" t="str">
        <f>IF(M57+K57=0,"",M57+K57)</f>
        <v/>
      </c>
      <c r="P57" s="523">
        <f t="shared" ref="P57:P68" si="29">L57+N57</f>
        <v>0</v>
      </c>
      <c r="Q57" s="522">
        <f t="shared" ref="Q57:Q68" si="30">IF(ISERROR(N57/I57),"",ROUND(N57/I57*100,2))</f>
        <v>0</v>
      </c>
      <c r="R57" s="524">
        <f t="shared" ref="R57:R68" si="31">IF(ISERROR(P57/I57),"",ROUND(P57/I57*100,2))</f>
        <v>0</v>
      </c>
      <c r="S57" s="28"/>
      <c r="T57" s="146"/>
    </row>
    <row r="58" spans="1:21" ht="13.8">
      <c r="A58" s="239">
        <f t="shared" ref="A58:A68" si="32">A57+1</f>
        <v>39</v>
      </c>
      <c r="B58" s="26" t="s">
        <v>32</v>
      </c>
      <c r="C58" s="27" t="s">
        <v>18</v>
      </c>
      <c r="D58" s="527">
        <v>3848.37</v>
      </c>
      <c r="E58" s="527">
        <v>1</v>
      </c>
      <c r="F58" s="528">
        <f t="shared" si="25"/>
        <v>3848.37</v>
      </c>
      <c r="G58" s="529">
        <f t="shared" si="26"/>
        <v>0</v>
      </c>
      <c r="H58" s="530">
        <v>1</v>
      </c>
      <c r="I58" s="530">
        <f t="shared" si="27"/>
        <v>3848.37</v>
      </c>
      <c r="J58" s="530"/>
      <c r="K58" s="530"/>
      <c r="L58" s="533"/>
      <c r="M58" s="533"/>
      <c r="N58" s="533">
        <f t="shared" si="28"/>
        <v>0</v>
      </c>
      <c r="O58" s="533" t="str">
        <f>IF(M58+K58=0,"",M58+K58)</f>
        <v/>
      </c>
      <c r="P58" s="532">
        <f t="shared" si="29"/>
        <v>0</v>
      </c>
      <c r="Q58" s="533">
        <f t="shared" si="30"/>
        <v>0</v>
      </c>
      <c r="R58" s="534">
        <f t="shared" si="31"/>
        <v>0</v>
      </c>
      <c r="S58" s="28"/>
      <c r="T58" s="146"/>
    </row>
    <row r="59" spans="1:21" ht="13.8">
      <c r="A59" s="239">
        <f t="shared" si="32"/>
        <v>40</v>
      </c>
      <c r="B59" s="26" t="s">
        <v>33</v>
      </c>
      <c r="C59" s="27" t="s">
        <v>10</v>
      </c>
      <c r="D59" s="527">
        <v>27.03</v>
      </c>
      <c r="E59" s="527">
        <v>421.23</v>
      </c>
      <c r="F59" s="528">
        <f t="shared" si="25"/>
        <v>11385.85</v>
      </c>
      <c r="G59" s="529">
        <f t="shared" si="26"/>
        <v>0</v>
      </c>
      <c r="H59" s="530">
        <v>421.23</v>
      </c>
      <c r="I59" s="530">
        <f t="shared" si="27"/>
        <v>11385.85</v>
      </c>
      <c r="J59" s="530"/>
      <c r="K59" s="530"/>
      <c r="L59" s="533"/>
      <c r="M59" s="533"/>
      <c r="N59" s="533">
        <f t="shared" si="28"/>
        <v>0</v>
      </c>
      <c r="O59" s="533" t="str">
        <f>IF(M59+K59=0,"",M59+K59)</f>
        <v/>
      </c>
      <c r="P59" s="532">
        <f t="shared" si="29"/>
        <v>0</v>
      </c>
      <c r="Q59" s="533">
        <f t="shared" si="30"/>
        <v>0</v>
      </c>
      <c r="R59" s="534">
        <f t="shared" si="31"/>
        <v>0</v>
      </c>
      <c r="S59" s="28"/>
      <c r="T59" s="146"/>
    </row>
    <row r="60" spans="1:21" ht="13.8">
      <c r="A60" s="239">
        <f t="shared" si="32"/>
        <v>41</v>
      </c>
      <c r="B60" s="26" t="s">
        <v>60</v>
      </c>
      <c r="C60" s="27" t="s">
        <v>10</v>
      </c>
      <c r="D60" s="527">
        <v>651.46</v>
      </c>
      <c r="E60" s="527">
        <v>379.8</v>
      </c>
      <c r="F60" s="528">
        <f t="shared" si="25"/>
        <v>247424.51</v>
      </c>
      <c r="G60" s="529">
        <f t="shared" si="26"/>
        <v>0</v>
      </c>
      <c r="H60" s="530">
        <v>379.8</v>
      </c>
      <c r="I60" s="530">
        <f t="shared" si="27"/>
        <v>247424.51</v>
      </c>
      <c r="J60" s="530"/>
      <c r="K60" s="530"/>
      <c r="L60" s="533"/>
      <c r="M60" s="533"/>
      <c r="N60" s="533">
        <f t="shared" si="28"/>
        <v>0</v>
      </c>
      <c r="O60" s="533"/>
      <c r="P60" s="532">
        <f t="shared" si="29"/>
        <v>0</v>
      </c>
      <c r="Q60" s="533">
        <f t="shared" si="30"/>
        <v>0</v>
      </c>
      <c r="R60" s="534">
        <f t="shared" si="31"/>
        <v>0</v>
      </c>
      <c r="S60" s="28"/>
      <c r="T60" s="146"/>
    </row>
    <row r="61" spans="1:21" ht="13.8">
      <c r="A61" s="239">
        <f t="shared" si="32"/>
        <v>42</v>
      </c>
      <c r="B61" s="3" t="s">
        <v>35</v>
      </c>
      <c r="C61" s="10" t="s">
        <v>10</v>
      </c>
      <c r="D61" s="11">
        <v>1801.53</v>
      </c>
      <c r="E61" s="12">
        <v>95.41</v>
      </c>
      <c r="F61" s="528">
        <f t="shared" si="25"/>
        <v>171883.98</v>
      </c>
      <c r="G61" s="529">
        <f t="shared" si="26"/>
        <v>0</v>
      </c>
      <c r="H61" s="530">
        <v>95.41</v>
      </c>
      <c r="I61" s="530">
        <f t="shared" si="27"/>
        <v>171883.98</v>
      </c>
      <c r="J61" s="530"/>
      <c r="K61" s="530"/>
      <c r="L61" s="533"/>
      <c r="M61" s="533"/>
      <c r="N61" s="533">
        <f t="shared" si="28"/>
        <v>0</v>
      </c>
      <c r="O61" s="533"/>
      <c r="P61" s="532">
        <f t="shared" si="29"/>
        <v>0</v>
      </c>
      <c r="Q61" s="533">
        <f t="shared" si="30"/>
        <v>0</v>
      </c>
      <c r="R61" s="534">
        <f t="shared" si="31"/>
        <v>0</v>
      </c>
      <c r="S61" s="28"/>
      <c r="T61" s="146"/>
    </row>
    <row r="62" spans="1:21" ht="13.8">
      <c r="A62" s="239">
        <f t="shared" si="32"/>
        <v>43</v>
      </c>
      <c r="B62" s="26" t="s">
        <v>36</v>
      </c>
      <c r="C62" s="27" t="s">
        <v>46</v>
      </c>
      <c r="D62" s="527">
        <v>15.35</v>
      </c>
      <c r="E62" s="527">
        <v>7046.94</v>
      </c>
      <c r="F62" s="528">
        <f t="shared" si="25"/>
        <v>108170.53</v>
      </c>
      <c r="G62" s="529">
        <f t="shared" si="26"/>
        <v>0</v>
      </c>
      <c r="H62" s="530">
        <v>7046.94</v>
      </c>
      <c r="I62" s="530">
        <f t="shared" si="27"/>
        <v>108170.53</v>
      </c>
      <c r="J62" s="530"/>
      <c r="K62" s="530"/>
      <c r="L62" s="533"/>
      <c r="M62" s="533"/>
      <c r="N62" s="533">
        <f t="shared" si="28"/>
        <v>0</v>
      </c>
      <c r="O62" s="533"/>
      <c r="P62" s="532">
        <f t="shared" si="29"/>
        <v>0</v>
      </c>
      <c r="Q62" s="533">
        <f t="shared" si="30"/>
        <v>0</v>
      </c>
      <c r="R62" s="534">
        <f t="shared" si="31"/>
        <v>0</v>
      </c>
      <c r="S62" s="28"/>
      <c r="T62" s="146"/>
    </row>
    <row r="63" spans="1:21" ht="13.8">
      <c r="A63" s="239">
        <f t="shared" si="32"/>
        <v>44</v>
      </c>
      <c r="B63" s="26" t="s">
        <v>50</v>
      </c>
      <c r="C63" s="27" t="s">
        <v>47</v>
      </c>
      <c r="D63" s="527">
        <v>3139.57</v>
      </c>
      <c r="E63" s="527">
        <v>61.8</v>
      </c>
      <c r="F63" s="528">
        <f t="shared" si="25"/>
        <v>194025.43</v>
      </c>
      <c r="G63" s="529">
        <f t="shared" si="26"/>
        <v>0</v>
      </c>
      <c r="H63" s="530">
        <v>61.8</v>
      </c>
      <c r="I63" s="530">
        <f t="shared" si="27"/>
        <v>194025.43</v>
      </c>
      <c r="J63" s="530"/>
      <c r="K63" s="530"/>
      <c r="L63" s="533"/>
      <c r="M63" s="533"/>
      <c r="N63" s="533">
        <f t="shared" si="28"/>
        <v>0</v>
      </c>
      <c r="O63" s="533"/>
      <c r="P63" s="532">
        <f t="shared" si="29"/>
        <v>0</v>
      </c>
      <c r="Q63" s="533">
        <f t="shared" si="30"/>
        <v>0</v>
      </c>
      <c r="R63" s="534">
        <f t="shared" si="31"/>
        <v>0</v>
      </c>
      <c r="S63" s="28"/>
      <c r="T63" s="146"/>
    </row>
    <row r="64" spans="1:21" ht="13.8">
      <c r="A64" s="239">
        <f t="shared" si="32"/>
        <v>45</v>
      </c>
      <c r="B64" s="26" t="s">
        <v>51</v>
      </c>
      <c r="C64" s="27" t="s">
        <v>58</v>
      </c>
      <c r="D64" s="527">
        <v>403.4</v>
      </c>
      <c r="E64" s="527">
        <v>26.25</v>
      </c>
      <c r="F64" s="528">
        <f t="shared" si="25"/>
        <v>10589.25</v>
      </c>
      <c r="G64" s="529">
        <f t="shared" si="26"/>
        <v>0</v>
      </c>
      <c r="H64" s="530">
        <v>26.25</v>
      </c>
      <c r="I64" s="530">
        <f t="shared" si="27"/>
        <v>10589.25</v>
      </c>
      <c r="J64" s="530"/>
      <c r="K64" s="530"/>
      <c r="L64" s="533"/>
      <c r="M64" s="533"/>
      <c r="N64" s="533">
        <f t="shared" si="28"/>
        <v>0</v>
      </c>
      <c r="O64" s="533"/>
      <c r="P64" s="532">
        <f t="shared" si="29"/>
        <v>0</v>
      </c>
      <c r="Q64" s="533">
        <f t="shared" si="30"/>
        <v>0</v>
      </c>
      <c r="R64" s="534">
        <f t="shared" si="31"/>
        <v>0</v>
      </c>
      <c r="S64" s="28"/>
      <c r="T64" s="146"/>
    </row>
    <row r="65" spans="1:20" ht="13.8">
      <c r="A65" s="239">
        <f t="shared" si="32"/>
        <v>46</v>
      </c>
      <c r="B65" s="26" t="s">
        <v>52</v>
      </c>
      <c r="C65" s="27" t="s">
        <v>18</v>
      </c>
      <c r="D65" s="527">
        <v>45986.77</v>
      </c>
      <c r="E65" s="527">
        <v>1</v>
      </c>
      <c r="F65" s="528">
        <f t="shared" si="25"/>
        <v>45986.77</v>
      </c>
      <c r="G65" s="529">
        <f t="shared" si="26"/>
        <v>0</v>
      </c>
      <c r="H65" s="530">
        <v>1</v>
      </c>
      <c r="I65" s="530">
        <f t="shared" si="27"/>
        <v>45986.77</v>
      </c>
      <c r="J65" s="530"/>
      <c r="K65" s="530"/>
      <c r="L65" s="533"/>
      <c r="M65" s="533"/>
      <c r="N65" s="533">
        <f t="shared" si="28"/>
        <v>0</v>
      </c>
      <c r="O65" s="533"/>
      <c r="P65" s="532">
        <f t="shared" si="29"/>
        <v>0</v>
      </c>
      <c r="Q65" s="533">
        <f t="shared" si="30"/>
        <v>0</v>
      </c>
      <c r="R65" s="534">
        <f t="shared" si="31"/>
        <v>0</v>
      </c>
      <c r="S65" s="28"/>
      <c r="T65" s="146"/>
    </row>
    <row r="66" spans="1:20" ht="13.8">
      <c r="A66" s="239">
        <f t="shared" si="32"/>
        <v>47</v>
      </c>
      <c r="B66" s="26" t="s">
        <v>53</v>
      </c>
      <c r="C66" s="27" t="s">
        <v>47</v>
      </c>
      <c r="D66" s="527">
        <v>825.66</v>
      </c>
      <c r="E66" s="527">
        <v>14.6</v>
      </c>
      <c r="F66" s="528">
        <f t="shared" si="25"/>
        <v>12054.64</v>
      </c>
      <c r="G66" s="529">
        <f t="shared" si="26"/>
        <v>0</v>
      </c>
      <c r="H66" s="530">
        <v>14.6</v>
      </c>
      <c r="I66" s="530">
        <f t="shared" si="27"/>
        <v>12054.64</v>
      </c>
      <c r="J66" s="530"/>
      <c r="K66" s="530"/>
      <c r="L66" s="533"/>
      <c r="M66" s="533"/>
      <c r="N66" s="533">
        <f t="shared" si="28"/>
        <v>0</v>
      </c>
      <c r="O66" s="533"/>
      <c r="P66" s="532">
        <f t="shared" si="29"/>
        <v>0</v>
      </c>
      <c r="Q66" s="533">
        <f t="shared" si="30"/>
        <v>0</v>
      </c>
      <c r="R66" s="534">
        <f t="shared" si="31"/>
        <v>0</v>
      </c>
      <c r="S66" s="28"/>
      <c r="T66" s="146"/>
    </row>
    <row r="67" spans="1:20" ht="13.8">
      <c r="A67" s="239">
        <f t="shared" si="32"/>
        <v>48</v>
      </c>
      <c r="B67" s="26" t="s">
        <v>54</v>
      </c>
      <c r="C67" s="27" t="s">
        <v>47</v>
      </c>
      <c r="D67" s="527">
        <v>83.48</v>
      </c>
      <c r="E67" s="527">
        <v>38.799999999999997</v>
      </c>
      <c r="F67" s="528">
        <f t="shared" si="25"/>
        <v>3239.02</v>
      </c>
      <c r="G67" s="529">
        <f t="shared" si="26"/>
        <v>0</v>
      </c>
      <c r="H67" s="530">
        <v>38.799999999999997</v>
      </c>
      <c r="I67" s="530">
        <f t="shared" si="27"/>
        <v>3239.02</v>
      </c>
      <c r="J67" s="530"/>
      <c r="K67" s="530"/>
      <c r="L67" s="533"/>
      <c r="M67" s="533"/>
      <c r="N67" s="533">
        <f t="shared" si="28"/>
        <v>0</v>
      </c>
      <c r="O67" s="533"/>
      <c r="P67" s="532">
        <f t="shared" si="29"/>
        <v>0</v>
      </c>
      <c r="Q67" s="533">
        <f t="shared" si="30"/>
        <v>0</v>
      </c>
      <c r="R67" s="534">
        <f t="shared" si="31"/>
        <v>0</v>
      </c>
      <c r="S67" s="28"/>
      <c r="T67" s="146"/>
    </row>
    <row r="68" spans="1:20" ht="13.8">
      <c r="A68" s="323">
        <f t="shared" si="32"/>
        <v>49</v>
      </c>
      <c r="B68" s="32" t="s">
        <v>57</v>
      </c>
      <c r="C68" s="29" t="s">
        <v>18</v>
      </c>
      <c r="D68" s="541">
        <v>4553.8599999999997</v>
      </c>
      <c r="E68" s="541">
        <v>1</v>
      </c>
      <c r="F68" s="559">
        <f t="shared" si="25"/>
        <v>4553.8599999999997</v>
      </c>
      <c r="G68" s="543">
        <f t="shared" si="26"/>
        <v>0</v>
      </c>
      <c r="H68" s="544">
        <v>1</v>
      </c>
      <c r="I68" s="544">
        <f t="shared" si="27"/>
        <v>4553.8599999999997</v>
      </c>
      <c r="J68" s="545"/>
      <c r="K68" s="573"/>
      <c r="L68" s="549"/>
      <c r="M68" s="549"/>
      <c r="N68" s="549">
        <f t="shared" si="28"/>
        <v>0</v>
      </c>
      <c r="O68" s="549"/>
      <c r="P68" s="574">
        <f t="shared" si="29"/>
        <v>0</v>
      </c>
      <c r="Q68" s="549">
        <f t="shared" si="30"/>
        <v>0</v>
      </c>
      <c r="R68" s="550">
        <f t="shared" si="31"/>
        <v>0</v>
      </c>
      <c r="S68" s="28"/>
      <c r="T68" s="146"/>
    </row>
    <row r="69" spans="1:20" ht="13.8">
      <c r="A69" s="229"/>
      <c r="B69" s="510" t="s">
        <v>61</v>
      </c>
      <c r="C69" s="227"/>
      <c r="D69" s="513"/>
      <c r="E69" s="513"/>
      <c r="F69" s="552"/>
      <c r="G69" s="513"/>
      <c r="H69" s="552"/>
      <c r="I69" s="552"/>
      <c r="J69" s="514"/>
      <c r="K69" s="575"/>
      <c r="L69" s="515"/>
      <c r="M69" s="515"/>
      <c r="N69" s="515"/>
      <c r="O69" s="515"/>
      <c r="P69" s="576"/>
      <c r="Q69" s="515"/>
      <c r="R69" s="516"/>
      <c r="S69" s="28"/>
      <c r="T69" s="146"/>
    </row>
    <row r="70" spans="1:20" ht="13.8">
      <c r="A70" s="313">
        <v>50</v>
      </c>
      <c r="B70" s="7" t="s">
        <v>62</v>
      </c>
      <c r="C70" s="25" t="s">
        <v>67</v>
      </c>
      <c r="D70" s="517">
        <v>1145.2</v>
      </c>
      <c r="E70" s="517">
        <v>15</v>
      </c>
      <c r="F70" s="579">
        <f>D70*E70</f>
        <v>17178</v>
      </c>
      <c r="G70" s="519">
        <f>+H70-E70</f>
        <v>0</v>
      </c>
      <c r="H70" s="520">
        <v>15</v>
      </c>
      <c r="I70" s="520">
        <f>+H70*D70</f>
        <v>17178</v>
      </c>
      <c r="J70" s="555"/>
      <c r="K70" s="580"/>
      <c r="L70" s="522"/>
      <c r="M70" s="522"/>
      <c r="N70" s="522">
        <f t="shared" ref="N70:N74" si="33">ROUND(M70*D70,2)</f>
        <v>0</v>
      </c>
      <c r="O70" s="522"/>
      <c r="P70" s="523">
        <f>L70+N70</f>
        <v>0</v>
      </c>
      <c r="Q70" s="522">
        <f>IF(ISERROR(N70/I70),"",ROUND(N70/I70*100,2))</f>
        <v>0</v>
      </c>
      <c r="R70" s="524">
        <f>IF(ISERROR(P70/I70),"",ROUND(P70/I70*100,2))</f>
        <v>0</v>
      </c>
      <c r="S70" s="28"/>
      <c r="T70" s="146"/>
    </row>
    <row r="71" spans="1:20" ht="13.8">
      <c r="A71" s="239">
        <f>1+A70</f>
        <v>51</v>
      </c>
      <c r="B71" s="8" t="s">
        <v>63</v>
      </c>
      <c r="C71" s="27" t="s">
        <v>67</v>
      </c>
      <c r="D71" s="527">
        <v>977.64</v>
      </c>
      <c r="E71" s="527">
        <v>33</v>
      </c>
      <c r="F71" s="581">
        <f>D71*E71</f>
        <v>32262.12</v>
      </c>
      <c r="G71" s="529">
        <f>+H71-E71</f>
        <v>0</v>
      </c>
      <c r="H71" s="530">
        <v>33</v>
      </c>
      <c r="I71" s="530">
        <f>+H71*D71</f>
        <v>32262.12</v>
      </c>
      <c r="J71" s="531"/>
      <c r="K71" s="569"/>
      <c r="L71" s="533"/>
      <c r="M71" s="533"/>
      <c r="N71" s="533">
        <f t="shared" si="33"/>
        <v>0</v>
      </c>
      <c r="O71" s="533"/>
      <c r="P71" s="532">
        <f>L71+N71</f>
        <v>0</v>
      </c>
      <c r="Q71" s="533">
        <f>IF(ISERROR(N71/I71),"",ROUND(N71/I71*100,2))</f>
        <v>0</v>
      </c>
      <c r="R71" s="534">
        <f>IF(ISERROR(P71/I71),"",ROUND(P71/I71*100,2))</f>
        <v>0</v>
      </c>
      <c r="S71" s="28"/>
      <c r="T71" s="146"/>
    </row>
    <row r="72" spans="1:20" ht="13.8">
      <c r="A72" s="239">
        <f>1+A71</f>
        <v>52</v>
      </c>
      <c r="B72" s="8" t="s">
        <v>64</v>
      </c>
      <c r="C72" s="27" t="s">
        <v>67</v>
      </c>
      <c r="D72" s="527">
        <v>1497.96</v>
      </c>
      <c r="E72" s="527">
        <v>1</v>
      </c>
      <c r="F72" s="581">
        <f>D72*E72</f>
        <v>1497.96</v>
      </c>
      <c r="G72" s="529">
        <f>+H72-E72</f>
        <v>0</v>
      </c>
      <c r="H72" s="530">
        <v>1</v>
      </c>
      <c r="I72" s="530">
        <f>+H72*D72</f>
        <v>1497.96</v>
      </c>
      <c r="J72" s="531"/>
      <c r="K72" s="569"/>
      <c r="L72" s="533"/>
      <c r="M72" s="533"/>
      <c r="N72" s="533">
        <f t="shared" si="33"/>
        <v>0</v>
      </c>
      <c r="O72" s="533"/>
      <c r="P72" s="532">
        <f>L72+N72</f>
        <v>0</v>
      </c>
      <c r="Q72" s="533">
        <f>IF(ISERROR(N72/I72),"",ROUND(N72/I72*100,2))</f>
        <v>0</v>
      </c>
      <c r="R72" s="534">
        <f>IF(ISERROR(P72/I72),"",ROUND(P72/I72*100,2))</f>
        <v>0</v>
      </c>
      <c r="S72" s="28"/>
      <c r="T72" s="146"/>
    </row>
    <row r="73" spans="1:20" ht="13.8">
      <c r="A73" s="239">
        <f>1+A72</f>
        <v>53</v>
      </c>
      <c r="B73" s="8" t="s">
        <v>65</v>
      </c>
      <c r="C73" s="27" t="s">
        <v>67</v>
      </c>
      <c r="D73" s="527">
        <v>276.64</v>
      </c>
      <c r="E73" s="527">
        <v>26</v>
      </c>
      <c r="F73" s="581">
        <f>D73*E73</f>
        <v>7192.64</v>
      </c>
      <c r="G73" s="529">
        <f>+H73-E73</f>
        <v>0</v>
      </c>
      <c r="H73" s="530">
        <v>26</v>
      </c>
      <c r="I73" s="530">
        <f>+H73*D73</f>
        <v>7192.64</v>
      </c>
      <c r="J73" s="531"/>
      <c r="K73" s="569"/>
      <c r="L73" s="533"/>
      <c r="M73" s="533"/>
      <c r="N73" s="533">
        <f t="shared" si="33"/>
        <v>0</v>
      </c>
      <c r="O73" s="533"/>
      <c r="P73" s="532">
        <f>L73+N73</f>
        <v>0</v>
      </c>
      <c r="Q73" s="533">
        <f>IF(ISERROR(N73/I73),"",ROUND(N73/I73*100,2))</f>
        <v>0</v>
      </c>
      <c r="R73" s="534">
        <f>IF(ISERROR(P73/I73),"",ROUND(P73/I73*100,2))</f>
        <v>0</v>
      </c>
      <c r="S73" s="28"/>
      <c r="T73" s="146"/>
    </row>
    <row r="74" spans="1:20" ht="13.8">
      <c r="A74" s="323">
        <f>1+A73</f>
        <v>54</v>
      </c>
      <c r="B74" s="9" t="s">
        <v>66</v>
      </c>
      <c r="C74" s="29" t="s">
        <v>67</v>
      </c>
      <c r="D74" s="541">
        <v>235.45</v>
      </c>
      <c r="E74" s="541">
        <v>98</v>
      </c>
      <c r="F74" s="542">
        <f>D74*E74</f>
        <v>23074.1</v>
      </c>
      <c r="G74" s="543">
        <f>+H74-E74</f>
        <v>0</v>
      </c>
      <c r="H74" s="544">
        <v>98</v>
      </c>
      <c r="I74" s="544">
        <f>+H74*D74</f>
        <v>23074.1</v>
      </c>
      <c r="J74" s="545"/>
      <c r="K74" s="573"/>
      <c r="L74" s="549"/>
      <c r="M74" s="549"/>
      <c r="N74" s="549">
        <f t="shared" si="33"/>
        <v>0</v>
      </c>
      <c r="O74" s="549"/>
      <c r="P74" s="574">
        <f>L74+N74</f>
        <v>0</v>
      </c>
      <c r="Q74" s="549">
        <f>IF(ISERROR(N74/I74),"",ROUND(N74/I74*100,2))</f>
        <v>0</v>
      </c>
      <c r="R74" s="550">
        <f>IF(ISERROR(P74/I74),"",ROUND(P74/I74*100,2))</f>
        <v>0</v>
      </c>
      <c r="S74" s="28"/>
      <c r="T74" s="146"/>
    </row>
    <row r="75" spans="1:20" ht="13.8">
      <c r="A75" s="229"/>
      <c r="B75" s="510" t="s">
        <v>68</v>
      </c>
      <c r="C75" s="227"/>
      <c r="D75" s="513"/>
      <c r="E75" s="513"/>
      <c r="F75" s="552"/>
      <c r="G75" s="513"/>
      <c r="H75" s="552"/>
      <c r="I75" s="552"/>
      <c r="J75" s="514"/>
      <c r="K75" s="575"/>
      <c r="L75" s="515"/>
      <c r="M75" s="515"/>
      <c r="N75" s="515"/>
      <c r="O75" s="515"/>
      <c r="P75" s="576"/>
      <c r="Q75" s="515"/>
      <c r="R75" s="516"/>
      <c r="S75" s="28"/>
      <c r="T75" s="146"/>
    </row>
    <row r="76" spans="1:20" ht="13.8">
      <c r="A76" s="313">
        <v>65</v>
      </c>
      <c r="B76" s="24" t="s">
        <v>69</v>
      </c>
      <c r="C76" s="25" t="s">
        <v>75</v>
      </c>
      <c r="D76" s="517">
        <v>412.06</v>
      </c>
      <c r="E76" s="517">
        <v>10</v>
      </c>
      <c r="F76" s="518">
        <f t="shared" ref="F76:F81" si="34">D76*E76</f>
        <v>4120.6000000000004</v>
      </c>
      <c r="G76" s="519">
        <f t="shared" ref="G76:G81" si="35">+H76-E76</f>
        <v>0</v>
      </c>
      <c r="H76" s="520">
        <v>10</v>
      </c>
      <c r="I76" s="520">
        <f t="shared" ref="I76:I81" si="36">+H76*D76</f>
        <v>4120.6000000000004</v>
      </c>
      <c r="J76" s="555"/>
      <c r="K76" s="580"/>
      <c r="L76" s="522"/>
      <c r="M76" s="522"/>
      <c r="N76" s="522">
        <f t="shared" ref="N76:N81" si="37">ROUND(M76*D76,2)</f>
        <v>0</v>
      </c>
      <c r="O76" s="522"/>
      <c r="P76" s="523">
        <f t="shared" ref="P76:P81" si="38">L76+N76</f>
        <v>0</v>
      </c>
      <c r="Q76" s="522">
        <f t="shared" ref="Q76:Q81" si="39">IF(ISERROR(N76/I76),"",ROUND(N76/I76*100,2))</f>
        <v>0</v>
      </c>
      <c r="R76" s="524">
        <f t="shared" ref="R76:R82" si="40">IF(ISERROR(P76/I76),"",ROUND(P76/I76*100,2))</f>
        <v>0</v>
      </c>
      <c r="S76" s="28"/>
      <c r="T76" s="146"/>
    </row>
    <row r="77" spans="1:20" ht="13.8">
      <c r="A77" s="239">
        <v>69</v>
      </c>
      <c r="B77" s="26" t="s">
        <v>70</v>
      </c>
      <c r="C77" s="27" t="s">
        <v>10</v>
      </c>
      <c r="D77" s="527">
        <v>337.66</v>
      </c>
      <c r="E77" s="527">
        <v>460.72</v>
      </c>
      <c r="F77" s="528">
        <f t="shared" si="34"/>
        <v>155566.72</v>
      </c>
      <c r="G77" s="529">
        <f t="shared" si="35"/>
        <v>189.38</v>
      </c>
      <c r="H77" s="530">
        <v>650.1</v>
      </c>
      <c r="I77" s="530">
        <f t="shared" si="36"/>
        <v>219512.77</v>
      </c>
      <c r="J77" s="531"/>
      <c r="K77" s="530"/>
      <c r="L77" s="533"/>
      <c r="M77" s="533"/>
      <c r="N77" s="533">
        <f t="shared" si="37"/>
        <v>0</v>
      </c>
      <c r="O77" s="533" t="str">
        <f>IF(M77+K77=0,"",M77+K77)</f>
        <v/>
      </c>
      <c r="P77" s="532">
        <f t="shared" si="38"/>
        <v>0</v>
      </c>
      <c r="Q77" s="533">
        <f t="shared" si="39"/>
        <v>0</v>
      </c>
      <c r="R77" s="534">
        <f t="shared" si="40"/>
        <v>0</v>
      </c>
      <c r="S77" s="28"/>
      <c r="T77" s="146"/>
    </row>
    <row r="78" spans="1:20" ht="13.8">
      <c r="A78" s="239">
        <f>1+A77</f>
        <v>70</v>
      </c>
      <c r="B78" s="26" t="s">
        <v>71</v>
      </c>
      <c r="C78" s="27" t="s">
        <v>18</v>
      </c>
      <c r="D78" s="527">
        <v>11160.89</v>
      </c>
      <c r="E78" s="527">
        <v>0.2</v>
      </c>
      <c r="F78" s="528">
        <f t="shared" si="34"/>
        <v>2232.1799999999998</v>
      </c>
      <c r="G78" s="529">
        <f t="shared" si="35"/>
        <v>0</v>
      </c>
      <c r="H78" s="530">
        <v>0.2</v>
      </c>
      <c r="I78" s="530">
        <f t="shared" si="36"/>
        <v>2232.1799999999998</v>
      </c>
      <c r="J78" s="531"/>
      <c r="K78" s="569"/>
      <c r="L78" s="533"/>
      <c r="M78" s="533"/>
      <c r="N78" s="533">
        <f t="shared" si="37"/>
        <v>0</v>
      </c>
      <c r="O78" s="533"/>
      <c r="P78" s="532">
        <f t="shared" si="38"/>
        <v>0</v>
      </c>
      <c r="Q78" s="533">
        <f t="shared" si="39"/>
        <v>0</v>
      </c>
      <c r="R78" s="534">
        <f t="shared" si="40"/>
        <v>0</v>
      </c>
      <c r="S78" s="28"/>
      <c r="T78" s="146"/>
    </row>
    <row r="79" spans="1:20" ht="13.8">
      <c r="A79" s="239">
        <f>1+A78</f>
        <v>71</v>
      </c>
      <c r="B79" s="26" t="s">
        <v>72</v>
      </c>
      <c r="C79" s="27" t="s">
        <v>25</v>
      </c>
      <c r="D79" s="527">
        <v>3424.36</v>
      </c>
      <c r="E79" s="527">
        <v>5.57</v>
      </c>
      <c r="F79" s="528">
        <f t="shared" si="34"/>
        <v>19073.689999999999</v>
      </c>
      <c r="G79" s="529">
        <f t="shared" si="35"/>
        <v>0</v>
      </c>
      <c r="H79" s="530">
        <v>5.57</v>
      </c>
      <c r="I79" s="530">
        <f t="shared" si="36"/>
        <v>19073.689999999999</v>
      </c>
      <c r="J79" s="531"/>
      <c r="K79" s="569"/>
      <c r="L79" s="533"/>
      <c r="M79" s="533"/>
      <c r="N79" s="533">
        <f t="shared" si="37"/>
        <v>0</v>
      </c>
      <c r="O79" s="533"/>
      <c r="P79" s="532">
        <f t="shared" si="38"/>
        <v>0</v>
      </c>
      <c r="Q79" s="533">
        <f t="shared" si="39"/>
        <v>0</v>
      </c>
      <c r="R79" s="534">
        <f t="shared" si="40"/>
        <v>0</v>
      </c>
      <c r="S79" s="28"/>
      <c r="T79" s="146"/>
    </row>
    <row r="80" spans="1:20" ht="13.8">
      <c r="A80" s="239">
        <f>1+A79</f>
        <v>72</v>
      </c>
      <c r="B80" s="26" t="s">
        <v>73</v>
      </c>
      <c r="C80" s="27" t="s">
        <v>25</v>
      </c>
      <c r="D80" s="527">
        <v>5452.74</v>
      </c>
      <c r="E80" s="527">
        <v>4.78</v>
      </c>
      <c r="F80" s="528">
        <f t="shared" si="34"/>
        <v>26064.1</v>
      </c>
      <c r="G80" s="529">
        <f t="shared" si="35"/>
        <v>0</v>
      </c>
      <c r="H80" s="530">
        <v>4.78</v>
      </c>
      <c r="I80" s="530">
        <f t="shared" si="36"/>
        <v>26064.1</v>
      </c>
      <c r="J80" s="531"/>
      <c r="K80" s="569"/>
      <c r="L80" s="533"/>
      <c r="M80" s="533"/>
      <c r="N80" s="533">
        <f t="shared" si="37"/>
        <v>0</v>
      </c>
      <c r="O80" s="533"/>
      <c r="P80" s="532">
        <f t="shared" si="38"/>
        <v>0</v>
      </c>
      <c r="Q80" s="533">
        <f t="shared" si="39"/>
        <v>0</v>
      </c>
      <c r="R80" s="534">
        <f t="shared" si="40"/>
        <v>0</v>
      </c>
      <c r="S80" s="28"/>
      <c r="T80" s="146"/>
    </row>
    <row r="81" spans="1:21" ht="13.8">
      <c r="A81" s="323">
        <v>74</v>
      </c>
      <c r="B81" s="32" t="s">
        <v>74</v>
      </c>
      <c r="C81" s="29" t="s">
        <v>18</v>
      </c>
      <c r="D81" s="541">
        <v>6376.18</v>
      </c>
      <c r="E81" s="541">
        <v>0.4</v>
      </c>
      <c r="F81" s="559">
        <f t="shared" si="34"/>
        <v>2550.4699999999998</v>
      </c>
      <c r="G81" s="543">
        <f t="shared" si="35"/>
        <v>0</v>
      </c>
      <c r="H81" s="544">
        <v>0.4</v>
      </c>
      <c r="I81" s="544">
        <f t="shared" si="36"/>
        <v>2550.4699999999998</v>
      </c>
      <c r="J81" s="545"/>
      <c r="K81" s="549"/>
      <c r="L81" s="549"/>
      <c r="M81" s="549"/>
      <c r="N81" s="549">
        <f t="shared" si="37"/>
        <v>0</v>
      </c>
      <c r="O81" s="549"/>
      <c r="P81" s="574">
        <f t="shared" si="38"/>
        <v>0</v>
      </c>
      <c r="Q81" s="549">
        <f t="shared" si="39"/>
        <v>0</v>
      </c>
      <c r="R81" s="550">
        <f t="shared" si="40"/>
        <v>0</v>
      </c>
      <c r="S81" s="28"/>
      <c r="T81" s="146"/>
    </row>
    <row r="82" spans="1:21" ht="13.8">
      <c r="A82" s="333"/>
      <c r="B82" s="511"/>
      <c r="C82" s="227"/>
      <c r="D82" s="513"/>
      <c r="E82" s="582"/>
      <c r="F82" s="552"/>
      <c r="G82" s="513"/>
      <c r="H82" s="552"/>
      <c r="I82" s="552"/>
      <c r="J82" s="513"/>
      <c r="K82" s="515"/>
      <c r="L82" s="515"/>
      <c r="M82" s="515"/>
      <c r="N82" s="515"/>
      <c r="O82" s="515"/>
      <c r="P82" s="576"/>
      <c r="Q82" s="515"/>
      <c r="R82" s="583" t="str">
        <f t="shared" si="40"/>
        <v/>
      </c>
    </row>
    <row r="83" spans="1:21">
      <c r="A83" s="808" t="s">
        <v>16</v>
      </c>
      <c r="B83" s="809"/>
      <c r="C83" s="809"/>
      <c r="D83" s="809"/>
      <c r="E83" s="584"/>
      <c r="F83" s="211">
        <f>SUM(F16:F81)</f>
        <v>16903840.539999999</v>
      </c>
      <c r="G83" s="584"/>
      <c r="H83" s="585"/>
      <c r="I83" s="209">
        <f>SUM(I16:I81)</f>
        <v>16903840.539999999</v>
      </c>
      <c r="J83" s="584"/>
      <c r="K83" s="584"/>
      <c r="L83" s="584">
        <f>ROUND(SUM(L16:L82),2)</f>
        <v>0</v>
      </c>
      <c r="M83" s="584"/>
      <c r="N83" s="584">
        <f>SUM(N16:N82)</f>
        <v>0</v>
      </c>
      <c r="O83" s="584" t="str">
        <f>IF(M83+K83=0,"",M83+K83)</f>
        <v/>
      </c>
      <c r="P83" s="584">
        <f>ROUND(SUM(P16:P82),2)</f>
        <v>0</v>
      </c>
      <c r="Q83" s="586">
        <f>+N83/I83*100</f>
        <v>0</v>
      </c>
      <c r="R83" s="586"/>
      <c r="S83" s="587"/>
      <c r="T83" s="588"/>
      <c r="U83" s="146"/>
    </row>
    <row r="84" spans="1:21">
      <c r="A84" s="33"/>
      <c r="B84" s="33"/>
      <c r="C84" s="33"/>
      <c r="D84" s="33"/>
      <c r="E84" s="33"/>
      <c r="F84" s="589"/>
      <c r="G84" s="33"/>
      <c r="H84" s="33"/>
      <c r="I84" s="34"/>
      <c r="J84" s="33"/>
      <c r="K84" s="35"/>
      <c r="L84" s="36"/>
      <c r="M84" s="35"/>
      <c r="N84" s="37"/>
      <c r="O84" s="35"/>
      <c r="P84" s="36"/>
      <c r="Q84" s="33"/>
      <c r="R84" s="590"/>
    </row>
    <row r="85" spans="1:21">
      <c r="A85" s="33"/>
      <c r="B85" s="33"/>
      <c r="C85" s="33"/>
      <c r="D85" s="33"/>
      <c r="E85" s="33"/>
      <c r="F85" s="33"/>
      <c r="G85" s="33"/>
      <c r="H85" s="33"/>
      <c r="I85" s="34"/>
      <c r="J85" s="33"/>
      <c r="K85" s="35"/>
      <c r="L85" s="36"/>
      <c r="M85" s="35"/>
      <c r="N85" s="37"/>
      <c r="O85" s="35"/>
      <c r="P85" s="36"/>
      <c r="Q85" s="591"/>
      <c r="R85" s="33"/>
    </row>
    <row r="86" spans="1:21">
      <c r="A86" s="33"/>
      <c r="B86" s="33"/>
      <c r="C86" s="33"/>
      <c r="D86" s="33"/>
      <c r="E86" s="33"/>
      <c r="F86" s="592"/>
      <c r="G86" s="33"/>
      <c r="H86" s="33"/>
      <c r="I86" s="33"/>
      <c r="J86" s="33"/>
      <c r="K86" s="35"/>
      <c r="L86" s="36"/>
      <c r="M86" s="35"/>
      <c r="N86" s="593"/>
      <c r="O86" s="594"/>
      <c r="P86" s="595"/>
      <c r="Q86" s="33"/>
      <c r="R86" s="33"/>
    </row>
    <row r="87" spans="1:21">
      <c r="A87" s="33"/>
      <c r="B87" s="33"/>
      <c r="C87" s="33"/>
      <c r="D87" s="33"/>
      <c r="E87" s="33"/>
      <c r="F87" s="30"/>
      <c r="G87" s="33"/>
      <c r="H87" s="33"/>
      <c r="I87" s="33"/>
      <c r="J87" s="33"/>
      <c r="K87" s="35"/>
      <c r="L87" s="36"/>
      <c r="M87" s="35"/>
      <c r="N87" s="37"/>
      <c r="O87" s="35"/>
      <c r="P87" s="36"/>
      <c r="Q87" s="33"/>
      <c r="R87" s="33"/>
    </row>
    <row r="88" spans="1:21">
      <c r="A88" s="33"/>
      <c r="B88" s="33"/>
      <c r="C88" s="33"/>
      <c r="D88" s="33"/>
      <c r="E88" s="33"/>
      <c r="F88" s="33"/>
      <c r="G88" s="34"/>
      <c r="H88" s="33"/>
      <c r="I88" s="33"/>
      <c r="J88" s="33"/>
      <c r="K88" s="35"/>
      <c r="L88" s="38"/>
      <c r="M88" s="35"/>
      <c r="N88" s="38"/>
      <c r="O88" s="35"/>
      <c r="P88" s="38"/>
      <c r="Q88" s="596"/>
      <c r="R88" s="35"/>
    </row>
    <row r="89" spans="1:21">
      <c r="A89" s="33"/>
      <c r="B89" s="33"/>
      <c r="C89" s="33"/>
      <c r="D89" s="33"/>
      <c r="E89" s="33"/>
      <c r="F89" s="33"/>
      <c r="G89" s="34"/>
      <c r="H89" s="33"/>
      <c r="I89" s="33"/>
      <c r="J89" s="33"/>
      <c r="K89" s="35"/>
      <c r="L89" s="38"/>
      <c r="M89" s="35"/>
      <c r="N89" s="38"/>
      <c r="O89" s="35"/>
      <c r="P89" s="38"/>
      <c r="Q89" s="596"/>
      <c r="R89" s="35"/>
    </row>
    <row r="90" spans="1:21">
      <c r="A90" s="33"/>
      <c r="B90" s="33"/>
      <c r="C90" s="33"/>
      <c r="D90" s="33"/>
      <c r="E90" s="33"/>
      <c r="F90" s="33"/>
      <c r="G90" s="34"/>
      <c r="H90" s="33"/>
      <c r="I90" s="33"/>
      <c r="J90" s="33"/>
      <c r="K90" s="35"/>
      <c r="L90" s="38"/>
      <c r="M90" s="35"/>
      <c r="N90" s="38"/>
      <c r="O90" s="35"/>
      <c r="P90" s="38"/>
      <c r="Q90" s="596"/>
      <c r="R90" s="35"/>
    </row>
    <row r="91" spans="1:21">
      <c r="A91" s="33"/>
      <c r="B91" s="33"/>
      <c r="C91" s="33"/>
      <c r="D91" s="33"/>
      <c r="E91" s="33"/>
      <c r="F91" s="33"/>
      <c r="G91" s="34"/>
      <c r="H91" s="33"/>
      <c r="I91" s="33"/>
      <c r="J91" s="33"/>
      <c r="K91" s="35"/>
      <c r="L91" s="38"/>
      <c r="M91" s="35"/>
      <c r="N91" s="38"/>
      <c r="O91" s="35"/>
      <c r="P91" s="38"/>
      <c r="Q91" s="596"/>
      <c r="R91" s="35"/>
    </row>
    <row r="92" spans="1:21">
      <c r="A92" s="33"/>
      <c r="B92" s="33"/>
      <c r="C92" s="33"/>
      <c r="D92" s="33"/>
      <c r="E92" s="33"/>
      <c r="F92" s="33"/>
      <c r="G92" s="34"/>
      <c r="H92" s="33"/>
      <c r="I92" s="33"/>
      <c r="J92" s="33"/>
      <c r="K92" s="35"/>
      <c r="L92" s="38"/>
      <c r="M92" s="35"/>
      <c r="N92" s="38"/>
      <c r="O92" s="35"/>
      <c r="P92" s="38"/>
      <c r="Q92" s="596"/>
      <c r="R92" s="35"/>
    </row>
    <row r="93" spans="1:21">
      <c r="A93" s="33"/>
      <c r="B93" s="33"/>
      <c r="C93" s="33"/>
      <c r="D93" s="33"/>
      <c r="E93" s="33"/>
      <c r="F93" s="33"/>
      <c r="G93" s="34"/>
      <c r="H93" s="33"/>
      <c r="I93" s="33"/>
      <c r="J93" s="33"/>
      <c r="K93" s="35"/>
      <c r="L93" s="38"/>
      <c r="M93" s="35"/>
      <c r="N93" s="38"/>
      <c r="O93" s="35"/>
      <c r="P93" s="38"/>
      <c r="Q93" s="596"/>
      <c r="R93" s="35"/>
    </row>
    <row r="94" spans="1:21">
      <c r="A94" s="33"/>
      <c r="B94" s="33"/>
      <c r="C94" s="33"/>
      <c r="D94" s="33"/>
      <c r="E94" s="33"/>
      <c r="F94" s="33"/>
      <c r="G94" s="34"/>
      <c r="H94" s="33"/>
      <c r="I94" s="33"/>
      <c r="J94" s="33"/>
      <c r="K94" s="35"/>
      <c r="L94" s="38"/>
      <c r="M94" s="35"/>
      <c r="N94" s="38"/>
      <c r="O94" s="35"/>
      <c r="P94" s="38"/>
      <c r="Q94" s="596"/>
      <c r="R94" s="35"/>
    </row>
    <row r="95" spans="1:21">
      <c r="A95" s="33"/>
      <c r="B95" s="33"/>
      <c r="C95" s="33"/>
      <c r="D95" s="33"/>
      <c r="E95" s="33"/>
      <c r="F95" s="33"/>
      <c r="G95" s="34"/>
      <c r="H95" s="33"/>
      <c r="I95" s="33"/>
      <c r="J95" s="33"/>
      <c r="K95" s="35"/>
      <c r="L95" s="38"/>
      <c r="M95" s="35"/>
      <c r="N95" s="38"/>
      <c r="O95" s="35"/>
      <c r="P95" s="38"/>
      <c r="Q95" s="596"/>
      <c r="R95" s="35"/>
    </row>
    <row r="96" spans="1:21">
      <c r="A96" s="33"/>
      <c r="B96" s="33"/>
      <c r="C96" s="33"/>
      <c r="D96" s="33"/>
      <c r="E96" s="33"/>
      <c r="F96" s="33"/>
      <c r="G96" s="34"/>
      <c r="H96" s="33"/>
      <c r="I96" s="33"/>
      <c r="J96" s="33"/>
      <c r="K96" s="35"/>
      <c r="L96" s="38"/>
      <c r="M96" s="35"/>
      <c r="N96" s="38"/>
      <c r="O96" s="35"/>
      <c r="P96" s="38"/>
      <c r="Q96" s="596"/>
      <c r="R96" s="35"/>
    </row>
    <row r="97" spans="1:18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5"/>
      <c r="L97" s="36"/>
      <c r="M97" s="35"/>
      <c r="N97" s="36"/>
      <c r="O97" s="35"/>
      <c r="P97" s="36"/>
      <c r="Q97" s="34"/>
      <c r="R97" s="33"/>
    </row>
    <row r="98" spans="1:18">
      <c r="A98" s="19"/>
      <c r="B98" s="33"/>
      <c r="C98" s="33"/>
      <c r="D98" s="33"/>
      <c r="E98" s="33"/>
      <c r="F98" s="39"/>
      <c r="G98" s="33"/>
      <c r="H98" s="33"/>
      <c r="I98" s="33"/>
      <c r="J98" s="33"/>
      <c r="K98" s="33"/>
      <c r="L98" s="34"/>
      <c r="M98" s="33"/>
      <c r="N98" s="33"/>
      <c r="O98" s="33"/>
      <c r="P98" s="30"/>
      <c r="Q98" s="33"/>
      <c r="R98" s="33"/>
    </row>
    <row r="99" spans="1:18">
      <c r="A99" s="33"/>
      <c r="B99" s="33"/>
      <c r="C99" s="33"/>
      <c r="D99" s="33"/>
      <c r="E99" s="33"/>
      <c r="F99" s="39"/>
      <c r="G99" s="33"/>
      <c r="H99" s="33"/>
      <c r="I99" s="33"/>
      <c r="J99" s="33"/>
      <c r="K99" s="33"/>
      <c r="L99" s="40"/>
      <c r="M99" s="33"/>
      <c r="N99" s="41"/>
      <c r="O99" s="33"/>
      <c r="P99" s="597"/>
      <c r="Q99" s="30"/>
      <c r="R99" s="33"/>
    </row>
    <row r="100" spans="1:18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  <c r="M100" s="33"/>
      <c r="N100" s="30"/>
      <c r="O100" s="33"/>
      <c r="P100" s="33"/>
      <c r="Q100" s="33"/>
      <c r="R100" s="33"/>
    </row>
    <row r="101" spans="1:18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</row>
    <row r="103" spans="1:18" ht="24.75" customHeight="1"/>
    <row r="104" spans="1:18">
      <c r="N104" s="31"/>
    </row>
    <row r="105" spans="1:18">
      <c r="F105" s="28"/>
      <c r="N105" s="42"/>
      <c r="O105" s="42"/>
    </row>
    <row r="106" spans="1:18">
      <c r="N106" s="28"/>
    </row>
    <row r="109" spans="1:18">
      <c r="F109" s="43"/>
    </row>
    <row r="110" spans="1:18">
      <c r="F110" s="44"/>
    </row>
    <row r="111" spans="1:18">
      <c r="E111" s="598"/>
    </row>
    <row r="112" spans="1:18">
      <c r="E112" s="599"/>
    </row>
    <row r="113" spans="5:5">
      <c r="E113" s="599"/>
    </row>
  </sheetData>
  <mergeCells count="34">
    <mergeCell ref="J13:J14"/>
    <mergeCell ref="A83:D83"/>
    <mergeCell ref="E13:E14"/>
    <mergeCell ref="F13:F14"/>
    <mergeCell ref="G13:G14"/>
    <mergeCell ref="H13:H14"/>
    <mergeCell ref="D11:R11"/>
    <mergeCell ref="A12:A14"/>
    <mergeCell ref="B12:B14"/>
    <mergeCell ref="C12:F12"/>
    <mergeCell ref="G12:J12"/>
    <mergeCell ref="K12:L12"/>
    <mergeCell ref="M12:N12"/>
    <mergeCell ref="O12:P12"/>
    <mergeCell ref="Q12:R12"/>
    <mergeCell ref="C13:D13"/>
    <mergeCell ref="K13:K14"/>
    <mergeCell ref="M13:M14"/>
    <mergeCell ref="O13:O14"/>
    <mergeCell ref="Q13:Q14"/>
    <mergeCell ref="R13:R14"/>
    <mergeCell ref="I13:I14"/>
    <mergeCell ref="D10:R10"/>
    <mergeCell ref="A1:R1"/>
    <mergeCell ref="A2:R2"/>
    <mergeCell ref="A3:B3"/>
    <mergeCell ref="C3:R3"/>
    <mergeCell ref="A4:B4"/>
    <mergeCell ref="C4:R4"/>
    <mergeCell ref="D5:R5"/>
    <mergeCell ref="D6:R6"/>
    <mergeCell ref="D7:R7"/>
    <mergeCell ref="D8:R8"/>
    <mergeCell ref="D9:R9"/>
  </mergeCells>
  <conditionalFormatting sqref="A15:R81">
    <cfRule type="expression" dxfId="2" priority="1">
      <formula>IF($M15&gt;0,1,0)</formula>
    </cfRule>
  </conditionalFormatting>
  <printOptions horizontalCentered="1"/>
  <pageMargins left="3.937007874015748E-2" right="0" top="0.43307086614173229" bottom="0.19685039370078741" header="0" footer="0"/>
  <pageSetup scale="57" fitToHeight="0" orientation="landscape" horizontalDpi="4294967293" r:id="rId1"/>
  <headerFooter scaleWithDoc="0" alignWithMargins="0"/>
  <rowBreaks count="1" manualBreakCount="1">
    <brk id="68" min="1" max="17" man="1"/>
  </rowBreaks>
  <colBreaks count="1" manualBreakCount="1">
    <brk id="18" max="1048575" man="1"/>
  </colBreaks>
  <ignoredErrors>
    <ignoredError sqref="I16:I81 F83 I83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>
    <tabColor theme="8" tint="-0.249977111117893"/>
    <pageSetUpPr fitToPage="1"/>
  </sheetPr>
  <dimension ref="A1:AG113"/>
  <sheetViews>
    <sheetView showGridLines="0" view="pageBreakPreview" topLeftCell="G1" zoomScale="115" zoomScaleNormal="90" zoomScaleSheetLayoutView="115" zoomScalePageLayoutView="60" workbookViewId="0">
      <selection activeCell="N16" sqref="N16:N21"/>
    </sheetView>
  </sheetViews>
  <sheetFormatPr baseColWidth="10" defaultColWidth="11.44140625" defaultRowHeight="13.2"/>
  <cols>
    <col min="1" max="1" width="5.44140625" style="175" customWidth="1"/>
    <col min="2" max="2" width="53.44140625" style="175" customWidth="1"/>
    <col min="3" max="3" width="6.109375" style="175" customWidth="1"/>
    <col min="4" max="4" width="10.5546875" style="175" customWidth="1"/>
    <col min="5" max="5" width="10.88671875" style="175" customWidth="1"/>
    <col min="6" max="6" width="14.33203125" style="175" customWidth="1"/>
    <col min="7" max="7" width="10" style="175" customWidth="1"/>
    <col min="8" max="8" width="11.109375" style="175" customWidth="1"/>
    <col min="9" max="9" width="13.5546875" style="175" customWidth="1"/>
    <col min="10" max="10" width="8.6640625" style="175" customWidth="1"/>
    <col min="11" max="11" width="10.6640625" style="175" customWidth="1"/>
    <col min="12" max="12" width="13.88671875" style="175" customWidth="1"/>
    <col min="13" max="13" width="11.33203125" style="175" customWidth="1"/>
    <col min="14" max="14" width="15.6640625" style="175" customWidth="1"/>
    <col min="15" max="15" width="12.5546875" style="175" customWidth="1"/>
    <col min="16" max="16" width="13.6640625" style="175" customWidth="1"/>
    <col min="17" max="17" width="10.5546875" style="175" customWidth="1"/>
    <col min="18" max="18" width="10.109375" style="175" customWidth="1"/>
    <col min="19" max="19" width="20" style="175" customWidth="1"/>
    <col min="20" max="20" width="20" style="176" customWidth="1"/>
    <col min="21" max="21" width="20.33203125" style="176" customWidth="1"/>
    <col min="22" max="22" width="16" style="175" customWidth="1"/>
    <col min="23" max="23" width="11.44140625" style="175"/>
    <col min="24" max="24" width="23.44140625" style="175" customWidth="1"/>
    <col min="25" max="25" width="16.88671875" style="175" customWidth="1"/>
    <col min="26" max="16384" width="11.44140625" style="175"/>
  </cols>
  <sheetData>
    <row r="1" spans="1:25" s="276" customFormat="1" ht="23.25" customHeight="1">
      <c r="A1" s="790" t="s">
        <v>238</v>
      </c>
      <c r="B1" s="791"/>
      <c r="C1" s="791"/>
      <c r="D1" s="791"/>
      <c r="E1" s="791"/>
      <c r="F1" s="791"/>
      <c r="G1" s="791"/>
      <c r="H1" s="791"/>
      <c r="I1" s="791"/>
      <c r="J1" s="791"/>
      <c r="K1" s="791"/>
      <c r="L1" s="791"/>
      <c r="M1" s="791"/>
      <c r="N1" s="791"/>
      <c r="O1" s="791"/>
      <c r="P1" s="791"/>
      <c r="Q1" s="791"/>
      <c r="R1" s="792"/>
      <c r="T1" s="277"/>
      <c r="U1" s="277"/>
    </row>
    <row r="2" spans="1:25" s="2" customFormat="1" ht="18.75" customHeight="1">
      <c r="A2" s="793" t="str">
        <f>ANALISIS!A2:F2</f>
        <v>PROYECTO:  MEJORAMIENTO CAMINO ROSARIO DEL INGRE - MACHICOCA - IVOCA (FASE I)</v>
      </c>
      <c r="B2" s="794"/>
      <c r="C2" s="794"/>
      <c r="D2" s="794"/>
      <c r="E2" s="794"/>
      <c r="F2" s="794"/>
      <c r="G2" s="794"/>
      <c r="H2" s="794"/>
      <c r="I2" s="794"/>
      <c r="J2" s="794"/>
      <c r="K2" s="794"/>
      <c r="L2" s="794"/>
      <c r="M2" s="794"/>
      <c r="N2" s="794"/>
      <c r="O2" s="794"/>
      <c r="P2" s="794"/>
      <c r="Q2" s="794"/>
      <c r="R2" s="795"/>
      <c r="T2" s="6"/>
      <c r="U2" s="6"/>
    </row>
    <row r="3" spans="1:25" s="266" customFormat="1" ht="18.75" customHeight="1">
      <c r="A3" s="796" t="s">
        <v>9</v>
      </c>
      <c r="B3" s="719"/>
      <c r="C3" s="797" t="s">
        <v>78</v>
      </c>
      <c r="D3" s="797"/>
      <c r="E3" s="797"/>
      <c r="F3" s="797"/>
      <c r="G3" s="797"/>
      <c r="H3" s="797"/>
      <c r="I3" s="797"/>
      <c r="J3" s="797"/>
      <c r="K3" s="797"/>
      <c r="L3" s="797"/>
      <c r="M3" s="797"/>
      <c r="N3" s="797"/>
      <c r="O3" s="797"/>
      <c r="P3" s="797"/>
      <c r="Q3" s="797"/>
      <c r="R3" s="798"/>
      <c r="T3" s="267"/>
      <c r="U3" s="267"/>
    </row>
    <row r="4" spans="1:25" s="266" customFormat="1" ht="17.25" customHeight="1">
      <c r="A4" s="796" t="s">
        <v>15</v>
      </c>
      <c r="B4" s="719"/>
      <c r="C4" s="799" t="s">
        <v>77</v>
      </c>
      <c r="D4" s="799"/>
      <c r="E4" s="799"/>
      <c r="F4" s="799"/>
      <c r="G4" s="799"/>
      <c r="H4" s="799"/>
      <c r="I4" s="799"/>
      <c r="J4" s="799"/>
      <c r="K4" s="799"/>
      <c r="L4" s="799"/>
      <c r="M4" s="799"/>
      <c r="N4" s="799"/>
      <c r="O4" s="799"/>
      <c r="P4" s="799"/>
      <c r="Q4" s="799"/>
      <c r="R4" s="800"/>
      <c r="T4" s="267"/>
      <c r="U4" s="267"/>
    </row>
    <row r="5" spans="1:25" s="266" customFormat="1" ht="13.8">
      <c r="A5" s="274"/>
      <c r="B5" s="273" t="s">
        <v>11</v>
      </c>
      <c r="C5" s="272"/>
      <c r="D5" s="706">
        <v>43759</v>
      </c>
      <c r="E5" s="706"/>
      <c r="F5" s="706"/>
      <c r="G5" s="706"/>
      <c r="H5" s="706"/>
      <c r="I5" s="706"/>
      <c r="J5" s="706"/>
      <c r="K5" s="706"/>
      <c r="L5" s="706"/>
      <c r="M5" s="706"/>
      <c r="N5" s="706"/>
      <c r="O5" s="706"/>
      <c r="P5" s="706"/>
      <c r="Q5" s="706"/>
      <c r="R5" s="801"/>
      <c r="T5" s="267"/>
      <c r="U5" s="267"/>
    </row>
    <row r="6" spans="1:25" s="266" customFormat="1" ht="13.8">
      <c r="A6" s="270"/>
      <c r="B6" s="269" t="s">
        <v>12</v>
      </c>
      <c r="C6" s="271"/>
      <c r="D6" s="710" t="s">
        <v>85</v>
      </c>
      <c r="E6" s="710"/>
      <c r="F6" s="710"/>
      <c r="G6" s="710"/>
      <c r="H6" s="710"/>
      <c r="I6" s="710"/>
      <c r="J6" s="710"/>
      <c r="K6" s="710"/>
      <c r="L6" s="710"/>
      <c r="M6" s="710"/>
      <c r="N6" s="710"/>
      <c r="O6" s="710"/>
      <c r="P6" s="710"/>
      <c r="Q6" s="710"/>
      <c r="R6" s="789"/>
      <c r="T6" s="267"/>
      <c r="U6" s="267"/>
    </row>
    <row r="7" spans="1:25" s="266" customFormat="1" ht="13.8">
      <c r="A7" s="270"/>
      <c r="B7" s="269" t="s">
        <v>13</v>
      </c>
      <c r="C7" s="271"/>
      <c r="D7" s="708" t="s">
        <v>86</v>
      </c>
      <c r="E7" s="708"/>
      <c r="F7" s="708"/>
      <c r="G7" s="708"/>
      <c r="H7" s="708"/>
      <c r="I7" s="708"/>
      <c r="J7" s="708"/>
      <c r="K7" s="708"/>
      <c r="L7" s="708"/>
      <c r="M7" s="708"/>
      <c r="N7" s="708"/>
      <c r="O7" s="708"/>
      <c r="P7" s="708"/>
      <c r="Q7" s="708"/>
      <c r="R7" s="802"/>
      <c r="T7" s="267"/>
      <c r="U7" s="267"/>
    </row>
    <row r="8" spans="1:25" s="266" customFormat="1" ht="13.8">
      <c r="A8" s="270"/>
      <c r="B8" s="269" t="s">
        <v>14</v>
      </c>
      <c r="C8" s="271"/>
      <c r="D8" s="710">
        <f>600+D5</f>
        <v>44359</v>
      </c>
      <c r="E8" s="710"/>
      <c r="F8" s="710"/>
      <c r="G8" s="710"/>
      <c r="H8" s="710"/>
      <c r="I8" s="710"/>
      <c r="J8" s="710"/>
      <c r="K8" s="710"/>
      <c r="L8" s="710"/>
      <c r="M8" s="710"/>
      <c r="N8" s="710"/>
      <c r="O8" s="710"/>
      <c r="P8" s="710"/>
      <c r="Q8" s="710"/>
      <c r="R8" s="789"/>
      <c r="T8" s="267"/>
      <c r="U8" s="267"/>
    </row>
    <row r="9" spans="1:25" s="266" customFormat="1" ht="13.8">
      <c r="A9" s="270"/>
      <c r="B9" s="269" t="s">
        <v>88</v>
      </c>
      <c r="C9" s="271"/>
      <c r="D9" s="710" t="s">
        <v>87</v>
      </c>
      <c r="E9" s="710"/>
      <c r="F9" s="710"/>
      <c r="G9" s="710"/>
      <c r="H9" s="710"/>
      <c r="I9" s="710"/>
      <c r="J9" s="710"/>
      <c r="K9" s="710"/>
      <c r="L9" s="710"/>
      <c r="M9" s="710"/>
      <c r="N9" s="710"/>
      <c r="O9" s="710"/>
      <c r="P9" s="710"/>
      <c r="Q9" s="710"/>
      <c r="R9" s="789"/>
      <c r="T9" s="267"/>
      <c r="U9" s="267"/>
    </row>
    <row r="10" spans="1:25" s="266" customFormat="1" ht="13.8">
      <c r="A10" s="270"/>
      <c r="B10" s="269" t="s">
        <v>79</v>
      </c>
      <c r="C10" s="128"/>
      <c r="D10" s="710">
        <v>44570</v>
      </c>
      <c r="E10" s="710"/>
      <c r="F10" s="710"/>
      <c r="G10" s="710"/>
      <c r="H10" s="710"/>
      <c r="I10" s="710"/>
      <c r="J10" s="710"/>
      <c r="K10" s="710"/>
      <c r="L10" s="710"/>
      <c r="M10" s="710"/>
      <c r="N10" s="710"/>
      <c r="O10" s="710"/>
      <c r="P10" s="710"/>
      <c r="Q10" s="710"/>
      <c r="R10" s="789"/>
      <c r="T10" s="267"/>
      <c r="U10" s="267"/>
    </row>
    <row r="11" spans="1:25" s="266" customFormat="1" ht="13.8">
      <c r="A11" s="397"/>
      <c r="B11" s="268" t="s">
        <v>196</v>
      </c>
      <c r="C11" s="4"/>
      <c r="D11" s="775">
        <v>0</v>
      </c>
      <c r="E11" s="775"/>
      <c r="F11" s="775"/>
      <c r="G11" s="775"/>
      <c r="H11" s="775"/>
      <c r="I11" s="775"/>
      <c r="J11" s="775"/>
      <c r="K11" s="775"/>
      <c r="L11" s="775"/>
      <c r="M11" s="775"/>
      <c r="N11" s="775"/>
      <c r="O11" s="775"/>
      <c r="P11" s="775"/>
      <c r="Q11" s="775"/>
      <c r="R11" s="776"/>
      <c r="T11" s="267"/>
      <c r="U11" s="267"/>
    </row>
    <row r="12" spans="1:25" s="260" customFormat="1" ht="20.25" customHeight="1">
      <c r="A12" s="777" t="s">
        <v>2</v>
      </c>
      <c r="B12" s="728" t="s">
        <v>0</v>
      </c>
      <c r="C12" s="779" t="s">
        <v>3</v>
      </c>
      <c r="D12" s="779"/>
      <c r="E12" s="779"/>
      <c r="F12" s="779"/>
      <c r="G12" s="780" t="s">
        <v>80</v>
      </c>
      <c r="H12" s="781"/>
      <c r="I12" s="781"/>
      <c r="J12" s="782"/>
      <c r="K12" s="779" t="s">
        <v>195</v>
      </c>
      <c r="L12" s="779"/>
      <c r="M12" s="783" t="s">
        <v>194</v>
      </c>
      <c r="N12" s="784"/>
      <c r="O12" s="779" t="s">
        <v>161</v>
      </c>
      <c r="P12" s="779"/>
      <c r="Q12" s="785" t="s">
        <v>193</v>
      </c>
      <c r="R12" s="786"/>
      <c r="T12" s="261"/>
      <c r="U12" s="261"/>
    </row>
    <row r="13" spans="1:25" s="260" customFormat="1" ht="12.75" customHeight="1">
      <c r="A13" s="777"/>
      <c r="B13" s="728"/>
      <c r="C13" s="779" t="s">
        <v>5</v>
      </c>
      <c r="D13" s="779"/>
      <c r="E13" s="728" t="s">
        <v>1</v>
      </c>
      <c r="F13" s="728" t="s">
        <v>6</v>
      </c>
      <c r="G13" s="773" t="s">
        <v>81</v>
      </c>
      <c r="H13" s="773" t="s">
        <v>82</v>
      </c>
      <c r="I13" s="773" t="s">
        <v>192</v>
      </c>
      <c r="J13" s="729" t="s">
        <v>4</v>
      </c>
      <c r="K13" s="728" t="s">
        <v>1</v>
      </c>
      <c r="L13" s="398" t="s">
        <v>189</v>
      </c>
      <c r="M13" s="728" t="s">
        <v>1</v>
      </c>
      <c r="N13" s="398" t="s">
        <v>189</v>
      </c>
      <c r="O13" s="728" t="s">
        <v>1</v>
      </c>
      <c r="P13" s="398" t="s">
        <v>189</v>
      </c>
      <c r="Q13" s="728" t="s">
        <v>191</v>
      </c>
      <c r="R13" s="787" t="s">
        <v>190</v>
      </c>
      <c r="T13" s="261"/>
      <c r="U13" s="261"/>
    </row>
    <row r="14" spans="1:25" s="260" customFormat="1" ht="33.75" customHeight="1">
      <c r="A14" s="778"/>
      <c r="B14" s="729"/>
      <c r="C14" s="264" t="s">
        <v>7</v>
      </c>
      <c r="D14" s="264" t="s">
        <v>8</v>
      </c>
      <c r="E14" s="729"/>
      <c r="F14" s="729"/>
      <c r="G14" s="774"/>
      <c r="H14" s="774"/>
      <c r="I14" s="774"/>
      <c r="J14" s="770"/>
      <c r="K14" s="729"/>
      <c r="L14" s="264" t="s">
        <v>8</v>
      </c>
      <c r="M14" s="729"/>
      <c r="N14" s="264" t="s">
        <v>8</v>
      </c>
      <c r="O14" s="729"/>
      <c r="P14" s="264" t="s">
        <v>8</v>
      </c>
      <c r="Q14" s="729"/>
      <c r="R14" s="788" t="s">
        <v>188</v>
      </c>
      <c r="S14" s="263"/>
      <c r="T14" s="262"/>
      <c r="U14" s="261"/>
    </row>
    <row r="15" spans="1:25" ht="13.8">
      <c r="A15" s="229"/>
      <c r="B15" s="228" t="s">
        <v>26</v>
      </c>
      <c r="C15" s="227"/>
      <c r="D15" s="259"/>
      <c r="E15" s="259"/>
      <c r="F15" s="258"/>
      <c r="G15" s="226"/>
      <c r="H15" s="226"/>
      <c r="I15" s="226"/>
      <c r="J15" s="224"/>
      <c r="K15" s="258"/>
      <c r="L15" s="221"/>
      <c r="M15" s="221"/>
      <c r="N15" s="221"/>
      <c r="O15" s="221"/>
      <c r="P15" s="221"/>
      <c r="Q15" s="221"/>
      <c r="R15" s="220"/>
    </row>
    <row r="16" spans="1:25" ht="13.8">
      <c r="A16" s="313">
        <v>1</v>
      </c>
      <c r="B16" s="241" t="s">
        <v>17</v>
      </c>
      <c r="C16" s="234" t="s">
        <v>18</v>
      </c>
      <c r="D16" s="233">
        <v>47860.38</v>
      </c>
      <c r="E16" s="233">
        <v>0.5</v>
      </c>
      <c r="F16" s="240">
        <f t="shared" ref="F16:F21" si="0">D16*E16</f>
        <v>23930.19</v>
      </c>
      <c r="G16" s="314">
        <v>0</v>
      </c>
      <c r="H16" s="315">
        <v>0.5</v>
      </c>
      <c r="I16" s="315">
        <f t="shared" ref="I16:I21" si="1">+H16*D16</f>
        <v>23930.19</v>
      </c>
      <c r="J16" s="316">
        <f>H16/F16</f>
        <v>0</v>
      </c>
      <c r="K16" s="317"/>
      <c r="L16" s="318"/>
      <c r="M16" s="317"/>
      <c r="N16" s="318">
        <f t="shared" ref="N16:N21" si="2">ROUND(M16*D16,2)</f>
        <v>0</v>
      </c>
      <c r="O16" s="317" t="str">
        <f t="shared" ref="O16:O34" si="3">IF(M16+K16=0,"",M16+K16)</f>
        <v/>
      </c>
      <c r="P16" s="318">
        <f t="shared" ref="P16:P21" si="4">L16+N16</f>
        <v>0</v>
      </c>
      <c r="Q16" s="317">
        <f t="shared" ref="Q16:Q21" si="5">IF(ISERROR(N16/I16),"",ROUND(N16/I16*100,2))</f>
        <v>0</v>
      </c>
      <c r="R16" s="319">
        <f t="shared" ref="R16:R21" si="6">IF(ISERROR(P16/I16),"",ROUND(P16/I16*100,2))</f>
        <v>0</v>
      </c>
      <c r="S16" s="181"/>
      <c r="T16" s="205"/>
      <c r="W16" s="292"/>
      <c r="X16" s="292"/>
      <c r="Y16" s="294"/>
    </row>
    <row r="17" spans="1:33" ht="13.8">
      <c r="A17" s="239">
        <f>1+A16</f>
        <v>2</v>
      </c>
      <c r="B17" s="219" t="s">
        <v>19</v>
      </c>
      <c r="C17" s="218" t="s">
        <v>20</v>
      </c>
      <c r="D17" s="217">
        <v>4767.6099999999997</v>
      </c>
      <c r="E17" s="217">
        <v>5.57</v>
      </c>
      <c r="F17" s="216">
        <f t="shared" si="0"/>
        <v>26555.59</v>
      </c>
      <c r="G17" s="320">
        <f>+H17-E17</f>
        <v>0</v>
      </c>
      <c r="H17" s="238">
        <v>5.57</v>
      </c>
      <c r="I17" s="238">
        <f t="shared" si="1"/>
        <v>26555.59</v>
      </c>
      <c r="J17" s="237"/>
      <c r="K17" s="320"/>
      <c r="L17" s="321"/>
      <c r="M17" s="235"/>
      <c r="N17" s="321">
        <f t="shared" si="2"/>
        <v>0</v>
      </c>
      <c r="O17" s="235" t="str">
        <f t="shared" si="3"/>
        <v/>
      </c>
      <c r="P17" s="321">
        <f t="shared" si="4"/>
        <v>0</v>
      </c>
      <c r="Q17" s="235">
        <f t="shared" si="5"/>
        <v>0</v>
      </c>
      <c r="R17" s="322">
        <f t="shared" si="6"/>
        <v>0</v>
      </c>
      <c r="S17" s="181"/>
      <c r="T17" s="205"/>
      <c r="W17" s="292"/>
      <c r="X17" s="292"/>
      <c r="Y17" s="294"/>
    </row>
    <row r="18" spans="1:33" s="244" customFormat="1" ht="13.8">
      <c r="A18" s="239">
        <f>1+A17</f>
        <v>3</v>
      </c>
      <c r="B18" s="219" t="s">
        <v>21</v>
      </c>
      <c r="C18" s="218" t="s">
        <v>10</v>
      </c>
      <c r="D18" s="217">
        <v>15.64</v>
      </c>
      <c r="E18" s="217">
        <v>40377.64</v>
      </c>
      <c r="F18" s="216">
        <f t="shared" si="0"/>
        <v>631506.29</v>
      </c>
      <c r="G18" s="320">
        <f>+H18-E18</f>
        <v>57206.19</v>
      </c>
      <c r="H18" s="238">
        <v>97583.83</v>
      </c>
      <c r="I18" s="238">
        <f t="shared" si="1"/>
        <v>1526211.1</v>
      </c>
      <c r="J18" s="237"/>
      <c r="K18" s="235"/>
      <c r="L18" s="321"/>
      <c r="M18" s="235"/>
      <c r="N18" s="321">
        <f t="shared" si="2"/>
        <v>0</v>
      </c>
      <c r="O18" s="235" t="str">
        <f t="shared" si="3"/>
        <v/>
      </c>
      <c r="P18" s="321">
        <f t="shared" si="4"/>
        <v>0</v>
      </c>
      <c r="Q18" s="235">
        <f t="shared" si="5"/>
        <v>0</v>
      </c>
      <c r="R18" s="322">
        <f t="shared" si="6"/>
        <v>0</v>
      </c>
      <c r="S18" s="246"/>
      <c r="T18" s="246"/>
      <c r="U18" s="246"/>
      <c r="V18" s="247"/>
      <c r="W18" s="293"/>
      <c r="X18" s="293"/>
      <c r="Y18" s="294"/>
      <c r="Z18" s="247"/>
      <c r="AA18" s="247"/>
      <c r="AB18" s="247"/>
      <c r="AC18" s="247"/>
      <c r="AD18" s="247"/>
      <c r="AE18" s="247"/>
      <c r="AF18" s="247"/>
      <c r="AG18" s="247"/>
    </row>
    <row r="19" spans="1:33" s="244" customFormat="1" ht="13.8">
      <c r="A19" s="239">
        <f>1+A18</f>
        <v>4</v>
      </c>
      <c r="B19" s="219" t="s">
        <v>22</v>
      </c>
      <c r="C19" s="218" t="s">
        <v>10</v>
      </c>
      <c r="D19" s="217">
        <v>18.52</v>
      </c>
      <c r="E19" s="217">
        <v>10580</v>
      </c>
      <c r="F19" s="216">
        <f t="shared" si="0"/>
        <v>195941.6</v>
      </c>
      <c r="G19" s="320">
        <f>+H19-E19</f>
        <v>17742.57</v>
      </c>
      <c r="H19" s="238">
        <v>28322.57</v>
      </c>
      <c r="I19" s="238">
        <f t="shared" si="1"/>
        <v>524534</v>
      </c>
      <c r="J19" s="237"/>
      <c r="K19" s="350"/>
      <c r="L19" s="351"/>
      <c r="M19" s="350"/>
      <c r="N19" s="351">
        <f t="shared" si="2"/>
        <v>0</v>
      </c>
      <c r="O19" s="350" t="str">
        <f t="shared" si="3"/>
        <v/>
      </c>
      <c r="P19" s="351">
        <f t="shared" si="4"/>
        <v>0</v>
      </c>
      <c r="Q19" s="235">
        <f t="shared" si="5"/>
        <v>0</v>
      </c>
      <c r="R19" s="322">
        <f t="shared" si="6"/>
        <v>0</v>
      </c>
      <c r="S19" s="246"/>
      <c r="T19" s="246"/>
      <c r="U19" s="246"/>
      <c r="V19" s="247"/>
      <c r="W19" s="293"/>
      <c r="X19" s="293"/>
      <c r="Y19" s="294"/>
      <c r="Z19" s="247"/>
      <c r="AA19" s="247"/>
      <c r="AB19" s="247"/>
      <c r="AC19" s="247"/>
      <c r="AD19" s="247"/>
      <c r="AE19" s="247"/>
      <c r="AF19" s="247"/>
      <c r="AG19" s="247"/>
    </row>
    <row r="20" spans="1:33" ht="13.8">
      <c r="A20" s="239">
        <f>1+A19</f>
        <v>5</v>
      </c>
      <c r="B20" s="257" t="s">
        <v>23</v>
      </c>
      <c r="C20" s="218" t="s">
        <v>10</v>
      </c>
      <c r="D20" s="217">
        <v>57.61</v>
      </c>
      <c r="E20" s="217">
        <v>11436.25</v>
      </c>
      <c r="F20" s="216">
        <f t="shared" si="0"/>
        <v>658842.36</v>
      </c>
      <c r="G20" s="320">
        <f>+H20-E20</f>
        <v>-2950.25</v>
      </c>
      <c r="H20" s="238">
        <v>8486</v>
      </c>
      <c r="I20" s="238">
        <f t="shared" si="1"/>
        <v>488878.46</v>
      </c>
      <c r="J20" s="237"/>
      <c r="K20" s="351"/>
      <c r="L20" s="351"/>
      <c r="M20" s="351"/>
      <c r="N20" s="351">
        <f t="shared" si="2"/>
        <v>0</v>
      </c>
      <c r="O20" s="350" t="str">
        <f t="shared" si="3"/>
        <v/>
      </c>
      <c r="P20" s="351">
        <f t="shared" si="4"/>
        <v>0</v>
      </c>
      <c r="Q20" s="235">
        <f t="shared" si="5"/>
        <v>0</v>
      </c>
      <c r="R20" s="322">
        <f t="shared" si="6"/>
        <v>0</v>
      </c>
      <c r="S20" s="181"/>
      <c r="T20" s="205"/>
      <c r="U20" s="205"/>
      <c r="V20" s="181"/>
      <c r="W20" s="292"/>
      <c r="X20" s="292"/>
      <c r="Y20" s="294"/>
      <c r="Z20" s="181"/>
      <c r="AA20" s="181"/>
      <c r="AB20" s="181"/>
      <c r="AC20" s="181"/>
      <c r="AD20" s="181"/>
      <c r="AE20" s="181"/>
      <c r="AF20" s="181"/>
      <c r="AG20" s="181"/>
    </row>
    <row r="21" spans="1:33" ht="13.8">
      <c r="A21" s="323">
        <f>1+A20</f>
        <v>6</v>
      </c>
      <c r="B21" s="256" t="s">
        <v>24</v>
      </c>
      <c r="C21" s="214" t="s">
        <v>25</v>
      </c>
      <c r="D21" s="213">
        <v>4.8600000000000003</v>
      </c>
      <c r="E21" s="213">
        <v>40296</v>
      </c>
      <c r="F21" s="230">
        <f t="shared" si="0"/>
        <v>195838.56</v>
      </c>
      <c r="G21" s="324">
        <f>+H21-E21</f>
        <v>35000</v>
      </c>
      <c r="H21" s="325">
        <v>75296</v>
      </c>
      <c r="I21" s="325">
        <f t="shared" si="1"/>
        <v>365938.56</v>
      </c>
      <c r="J21" s="326"/>
      <c r="K21" s="352"/>
      <c r="L21" s="353"/>
      <c r="M21" s="354"/>
      <c r="N21" s="353">
        <f t="shared" si="2"/>
        <v>0</v>
      </c>
      <c r="O21" s="354" t="str">
        <f t="shared" si="3"/>
        <v/>
      </c>
      <c r="P21" s="353">
        <f t="shared" si="4"/>
        <v>0</v>
      </c>
      <c r="Q21" s="328">
        <f t="shared" si="5"/>
        <v>0</v>
      </c>
      <c r="R21" s="329">
        <f t="shared" si="6"/>
        <v>0</v>
      </c>
      <c r="S21" s="181"/>
      <c r="T21" s="205"/>
      <c r="U21" s="205"/>
      <c r="V21" s="185"/>
      <c r="W21" s="292"/>
      <c r="X21" s="292"/>
      <c r="Y21" s="294"/>
      <c r="Z21" s="181"/>
      <c r="AA21" s="181"/>
      <c r="AB21" s="181"/>
      <c r="AC21" s="181"/>
      <c r="AD21" s="181"/>
      <c r="AE21" s="181"/>
      <c r="AF21" s="181"/>
      <c r="AG21" s="181"/>
    </row>
    <row r="22" spans="1:33" ht="13.8">
      <c r="A22" s="229"/>
      <c r="B22" s="255" t="s">
        <v>27</v>
      </c>
      <c r="C22" s="227"/>
      <c r="D22" s="226"/>
      <c r="E22" s="226"/>
      <c r="F22" s="225"/>
      <c r="G22" s="226"/>
      <c r="H22" s="225"/>
      <c r="I22" s="225"/>
      <c r="J22" s="224"/>
      <c r="K22" s="355"/>
      <c r="L22" s="356"/>
      <c r="M22" s="356"/>
      <c r="N22" s="356"/>
      <c r="O22" s="356" t="str">
        <f t="shared" si="3"/>
        <v/>
      </c>
      <c r="P22" s="355"/>
      <c r="Q22" s="221"/>
      <c r="R22" s="220"/>
      <c r="S22" s="181"/>
      <c r="T22" s="205"/>
      <c r="U22" s="205"/>
      <c r="V22" s="183"/>
      <c r="W22" s="181"/>
      <c r="X22" s="181"/>
      <c r="Y22" s="181"/>
      <c r="Z22" s="181"/>
      <c r="AA22" s="181"/>
      <c r="AB22" s="181"/>
      <c r="AC22" s="181"/>
      <c r="AD22" s="181"/>
      <c r="AE22" s="181"/>
      <c r="AF22" s="181"/>
      <c r="AG22" s="181"/>
    </row>
    <row r="23" spans="1:33" ht="12.75" customHeight="1">
      <c r="A23" s="313">
        <v>7</v>
      </c>
      <c r="B23" s="241" t="s">
        <v>28</v>
      </c>
      <c r="C23" s="234" t="s">
        <v>10</v>
      </c>
      <c r="D23" s="233">
        <v>61.39</v>
      </c>
      <c r="E23" s="233">
        <v>23213.09</v>
      </c>
      <c r="F23" s="240">
        <f>D23*E23</f>
        <v>1425051.6</v>
      </c>
      <c r="G23" s="314">
        <f>+H23-E23</f>
        <v>0</v>
      </c>
      <c r="H23" s="315">
        <v>23213.09</v>
      </c>
      <c r="I23" s="315">
        <f>+H23*D23</f>
        <v>1425051.6</v>
      </c>
      <c r="J23" s="330"/>
      <c r="K23" s="357"/>
      <c r="L23" s="358"/>
      <c r="M23" s="358"/>
      <c r="N23" s="358">
        <f t="shared" ref="N23:N25" si="7">ROUND(M23*D23,2)</f>
        <v>0</v>
      </c>
      <c r="O23" s="358" t="str">
        <f t="shared" si="3"/>
        <v/>
      </c>
      <c r="P23" s="357">
        <f>L23+N23</f>
        <v>0</v>
      </c>
      <c r="Q23" s="317">
        <f>IF(ISERROR(N23/I23),"",ROUND(N23/I23*100,2))</f>
        <v>0</v>
      </c>
      <c r="R23" s="319">
        <f>IF(ISERROR(P23/I23),"",ROUND(P23/I23*100,2))</f>
        <v>0</v>
      </c>
      <c r="S23" s="181"/>
      <c r="T23" s="205"/>
      <c r="U23" s="254"/>
      <c r="V23" s="181"/>
      <c r="W23" s="181"/>
      <c r="X23" s="181"/>
      <c r="Y23" s="181"/>
      <c r="Z23" s="181"/>
      <c r="AA23" s="181"/>
      <c r="AB23" s="181"/>
      <c r="AC23" s="181"/>
      <c r="AD23" s="181"/>
      <c r="AE23" s="181"/>
      <c r="AF23" s="181"/>
      <c r="AG23" s="181"/>
    </row>
    <row r="24" spans="1:33" ht="13.8">
      <c r="A24" s="239">
        <v>8</v>
      </c>
      <c r="B24" s="219" t="s">
        <v>29</v>
      </c>
      <c r="C24" s="218" t="s">
        <v>10</v>
      </c>
      <c r="D24" s="217">
        <v>18.55</v>
      </c>
      <c r="E24" s="217">
        <v>24098.81</v>
      </c>
      <c r="F24" s="216">
        <f>D24*E24</f>
        <v>447032.93</v>
      </c>
      <c r="G24" s="320">
        <f>+H24-E24</f>
        <v>0</v>
      </c>
      <c r="H24" s="238">
        <v>24098.81</v>
      </c>
      <c r="I24" s="238">
        <f>+H24*D24</f>
        <v>447032.93</v>
      </c>
      <c r="J24" s="237"/>
      <c r="K24" s="351"/>
      <c r="L24" s="350"/>
      <c r="M24" s="350"/>
      <c r="N24" s="350">
        <f t="shared" si="7"/>
        <v>0</v>
      </c>
      <c r="O24" s="350" t="str">
        <f t="shared" si="3"/>
        <v/>
      </c>
      <c r="P24" s="351">
        <f>L24+N24</f>
        <v>0</v>
      </c>
      <c r="Q24" s="235">
        <f>IF(ISERROR(N24/I24),"",ROUND(N24/I24*100,2))</f>
        <v>0</v>
      </c>
      <c r="R24" s="322">
        <f>IF(ISERROR(P24/I24),"",ROUND(P24/I24*100,2))</f>
        <v>0</v>
      </c>
      <c r="S24" s="181"/>
      <c r="T24" s="205"/>
      <c r="U24" s="254"/>
      <c r="V24" s="181"/>
      <c r="W24" s="181"/>
      <c r="X24" s="181"/>
      <c r="Y24" s="181"/>
      <c r="Z24" s="181"/>
      <c r="AA24" s="181"/>
      <c r="AB24" s="181"/>
      <c r="AC24" s="181"/>
      <c r="AD24" s="181"/>
      <c r="AE24" s="181"/>
      <c r="AF24" s="181"/>
      <c r="AG24" s="181"/>
    </row>
    <row r="25" spans="1:33" ht="13.8">
      <c r="A25" s="323">
        <v>9</v>
      </c>
      <c r="B25" s="215" t="s">
        <v>30</v>
      </c>
      <c r="C25" s="214" t="s">
        <v>18</v>
      </c>
      <c r="D25" s="213">
        <v>44453.32</v>
      </c>
      <c r="E25" s="213">
        <v>0.4</v>
      </c>
      <c r="F25" s="212">
        <f>D25*E25</f>
        <v>17781.330000000002</v>
      </c>
      <c r="G25" s="324">
        <f>+H25-E25</f>
        <v>0</v>
      </c>
      <c r="H25" s="325">
        <v>0.4</v>
      </c>
      <c r="I25" s="325">
        <f>+H25*D25</f>
        <v>17781.330000000002</v>
      </c>
      <c r="J25" s="326"/>
      <c r="K25" s="353"/>
      <c r="L25" s="354"/>
      <c r="M25" s="353"/>
      <c r="N25" s="354">
        <f t="shared" si="7"/>
        <v>0</v>
      </c>
      <c r="O25" s="353" t="str">
        <f t="shared" si="3"/>
        <v/>
      </c>
      <c r="P25" s="353">
        <f>L25+N25</f>
        <v>0</v>
      </c>
      <c r="Q25" s="328">
        <f>IF(ISERROR(N25/I25),"",ROUND(N25/I25*100,2))</f>
        <v>0</v>
      </c>
      <c r="R25" s="329">
        <f>IF(ISERROR(P25/I25),"",ROUND(P25/I25*100,2))</f>
        <v>0</v>
      </c>
      <c r="S25" s="181"/>
      <c r="T25" s="205"/>
      <c r="U25" s="205"/>
      <c r="V25" s="181"/>
      <c r="W25" s="181"/>
      <c r="X25" s="181"/>
      <c r="Y25" s="181"/>
      <c r="Z25" s="181"/>
      <c r="AA25" s="181"/>
      <c r="AB25" s="181"/>
      <c r="AC25" s="181"/>
      <c r="AD25" s="181"/>
      <c r="AE25" s="181"/>
      <c r="AF25" s="181"/>
      <c r="AG25" s="181"/>
    </row>
    <row r="26" spans="1:33" ht="13.5" customHeight="1">
      <c r="A26" s="229"/>
      <c r="B26" s="228" t="s">
        <v>31</v>
      </c>
      <c r="C26" s="227"/>
      <c r="D26" s="226"/>
      <c r="E26" s="226"/>
      <c r="F26" s="225"/>
      <c r="G26" s="226"/>
      <c r="H26" s="225"/>
      <c r="I26" s="225"/>
      <c r="J26" s="224"/>
      <c r="K26" s="359"/>
      <c r="L26" s="356"/>
      <c r="M26" s="356"/>
      <c r="N26" s="356"/>
      <c r="O26" s="355" t="str">
        <f t="shared" si="3"/>
        <v/>
      </c>
      <c r="P26" s="355"/>
      <c r="Q26" s="221"/>
      <c r="R26" s="220"/>
      <c r="S26" s="181"/>
      <c r="T26" s="205"/>
      <c r="U26" s="205"/>
      <c r="V26" s="181"/>
      <c r="W26" s="181"/>
      <c r="X26" s="181"/>
      <c r="Y26" s="181"/>
      <c r="Z26" s="181"/>
      <c r="AA26" s="181"/>
      <c r="AB26" s="181"/>
      <c r="AC26" s="181"/>
      <c r="AD26" s="181"/>
      <c r="AE26" s="181"/>
      <c r="AF26" s="181"/>
      <c r="AG26" s="181"/>
    </row>
    <row r="27" spans="1:33" ht="13.8">
      <c r="A27" s="313">
        <v>10</v>
      </c>
      <c r="B27" s="241" t="s">
        <v>32</v>
      </c>
      <c r="C27" s="234" t="s">
        <v>18</v>
      </c>
      <c r="D27" s="233">
        <v>3848.37</v>
      </c>
      <c r="E27" s="233">
        <v>0.2</v>
      </c>
      <c r="F27" s="240">
        <f t="shared" ref="F27:F40" si="8">D27*E27</f>
        <v>769.67</v>
      </c>
      <c r="G27" s="314">
        <f t="shared" ref="G27:G40" si="9">+H27-E27</f>
        <v>0</v>
      </c>
      <c r="H27" s="315">
        <v>0.2</v>
      </c>
      <c r="I27" s="315">
        <f t="shared" ref="I27:I40" si="10">+H27*D27</f>
        <v>769.67</v>
      </c>
      <c r="J27" s="330"/>
      <c r="K27" s="360"/>
      <c r="L27" s="358"/>
      <c r="M27" s="358"/>
      <c r="N27" s="358">
        <f t="shared" ref="N27:N40" si="11">ROUND(M27*D27,2)</f>
        <v>0</v>
      </c>
      <c r="O27" s="357" t="str">
        <f t="shared" si="3"/>
        <v/>
      </c>
      <c r="P27" s="357">
        <f t="shared" ref="P27:P40" si="12">L27+N27</f>
        <v>0</v>
      </c>
      <c r="Q27" s="317">
        <f t="shared" ref="Q27:Q40" si="13">IF(ISERROR(N27/I27),"",ROUND(N27/I27*100,2))</f>
        <v>0</v>
      </c>
      <c r="R27" s="319">
        <f t="shared" ref="R27:R40" si="14">IF(ISERROR(P27/I27),"",ROUND(P27/I27*100,2))</f>
        <v>0</v>
      </c>
      <c r="S27" s="205"/>
      <c r="T27" s="205"/>
      <c r="U27" s="205"/>
      <c r="V27" s="181"/>
      <c r="W27" s="181"/>
      <c r="X27" s="181"/>
      <c r="Y27" s="181"/>
      <c r="Z27" s="181"/>
      <c r="AA27" s="181"/>
      <c r="AB27" s="181"/>
      <c r="AC27" s="181"/>
      <c r="AD27" s="181"/>
      <c r="AE27" s="181"/>
      <c r="AF27" s="181"/>
      <c r="AG27" s="181"/>
    </row>
    <row r="28" spans="1:33" s="244" customFormat="1" ht="13.8">
      <c r="A28" s="239">
        <f t="shared" ref="A28:A40" si="15">1+A27</f>
        <v>11</v>
      </c>
      <c r="B28" s="219" t="s">
        <v>33</v>
      </c>
      <c r="C28" s="218" t="s">
        <v>10</v>
      </c>
      <c r="D28" s="217">
        <v>27.03</v>
      </c>
      <c r="E28" s="217">
        <v>7899.85</v>
      </c>
      <c r="F28" s="216">
        <f t="shared" si="8"/>
        <v>213532.95</v>
      </c>
      <c r="G28" s="320">
        <f t="shared" si="9"/>
        <v>0</v>
      </c>
      <c r="H28" s="238">
        <v>7899.85</v>
      </c>
      <c r="I28" s="238">
        <f t="shared" si="10"/>
        <v>213532.95</v>
      </c>
      <c r="J28" s="237"/>
      <c r="K28" s="361"/>
      <c r="L28" s="350"/>
      <c r="M28" s="350"/>
      <c r="N28" s="350">
        <f t="shared" si="11"/>
        <v>0</v>
      </c>
      <c r="O28" s="351" t="str">
        <f t="shared" si="3"/>
        <v/>
      </c>
      <c r="P28" s="351">
        <f t="shared" si="12"/>
        <v>0</v>
      </c>
      <c r="Q28" s="235">
        <f t="shared" si="13"/>
        <v>0</v>
      </c>
      <c r="R28" s="322">
        <f t="shared" si="14"/>
        <v>0</v>
      </c>
      <c r="S28" s="246"/>
      <c r="T28" s="246"/>
      <c r="U28" s="245"/>
      <c r="V28" s="247"/>
    </row>
    <row r="29" spans="1:33" s="244" customFormat="1" ht="15.75" customHeight="1">
      <c r="A29" s="239">
        <f t="shared" si="15"/>
        <v>12</v>
      </c>
      <c r="B29" s="219" t="s">
        <v>34</v>
      </c>
      <c r="C29" s="218" t="s">
        <v>10</v>
      </c>
      <c r="D29" s="217">
        <v>652.63</v>
      </c>
      <c r="E29" s="217">
        <v>1522.75</v>
      </c>
      <c r="F29" s="216">
        <f t="shared" si="8"/>
        <v>993792.33</v>
      </c>
      <c r="G29" s="320">
        <f t="shared" si="9"/>
        <v>3076.2</v>
      </c>
      <c r="H29" s="238">
        <v>4598.95</v>
      </c>
      <c r="I29" s="238">
        <f t="shared" si="10"/>
        <v>3001412.74</v>
      </c>
      <c r="J29" s="237"/>
      <c r="K29" s="361"/>
      <c r="L29" s="350"/>
      <c r="M29" s="350"/>
      <c r="N29" s="350">
        <f t="shared" si="11"/>
        <v>0</v>
      </c>
      <c r="O29" s="351" t="str">
        <f t="shared" si="3"/>
        <v/>
      </c>
      <c r="P29" s="399">
        <f t="shared" si="12"/>
        <v>0</v>
      </c>
      <c r="Q29" s="235">
        <f t="shared" si="13"/>
        <v>0</v>
      </c>
      <c r="R29" s="322">
        <f t="shared" si="14"/>
        <v>0</v>
      </c>
      <c r="S29" s="246"/>
      <c r="T29" s="246"/>
      <c r="U29" s="245"/>
      <c r="V29" s="247"/>
    </row>
    <row r="30" spans="1:33" s="249" customFormat="1" ht="13.8">
      <c r="A30" s="239">
        <f t="shared" si="15"/>
        <v>13</v>
      </c>
      <c r="B30" s="219" t="s">
        <v>35</v>
      </c>
      <c r="C30" s="218" t="s">
        <v>10</v>
      </c>
      <c r="D30" s="217">
        <v>1801.53</v>
      </c>
      <c r="E30" s="217">
        <v>837.96</v>
      </c>
      <c r="F30" s="216">
        <f t="shared" si="8"/>
        <v>1509610.08</v>
      </c>
      <c r="G30" s="320">
        <f t="shared" si="9"/>
        <v>-236.8</v>
      </c>
      <c r="H30" s="238">
        <v>601.16</v>
      </c>
      <c r="I30" s="238">
        <f t="shared" si="10"/>
        <v>1083007.77</v>
      </c>
      <c r="J30" s="237"/>
      <c r="K30" s="361"/>
      <c r="L30" s="350"/>
      <c r="M30" s="350"/>
      <c r="N30" s="350">
        <f t="shared" si="11"/>
        <v>0</v>
      </c>
      <c r="O30" s="351" t="str">
        <f t="shared" si="3"/>
        <v/>
      </c>
      <c r="P30" s="351">
        <f t="shared" si="12"/>
        <v>0</v>
      </c>
      <c r="Q30" s="235">
        <f t="shared" si="13"/>
        <v>0</v>
      </c>
      <c r="R30" s="322">
        <f t="shared" si="14"/>
        <v>0</v>
      </c>
      <c r="S30" s="252"/>
      <c r="T30" s="252"/>
      <c r="U30" s="251"/>
      <c r="V30" s="250"/>
    </row>
    <row r="31" spans="1:33" s="249" customFormat="1" ht="13.8">
      <c r="A31" s="239">
        <f t="shared" si="15"/>
        <v>14</v>
      </c>
      <c r="B31" s="219" t="s">
        <v>36</v>
      </c>
      <c r="C31" s="218" t="s">
        <v>46</v>
      </c>
      <c r="D31" s="217">
        <v>15.35</v>
      </c>
      <c r="E31" s="217">
        <v>108768.82</v>
      </c>
      <c r="F31" s="216">
        <f t="shared" si="8"/>
        <v>1669601.39</v>
      </c>
      <c r="G31" s="320">
        <f t="shared" si="9"/>
        <v>0</v>
      </c>
      <c r="H31" s="238">
        <v>108768.82</v>
      </c>
      <c r="I31" s="238">
        <f t="shared" si="10"/>
        <v>1669601.39</v>
      </c>
      <c r="J31" s="237"/>
      <c r="K31" s="361"/>
      <c r="L31" s="350"/>
      <c r="M31" s="350"/>
      <c r="N31" s="350">
        <f t="shared" si="11"/>
        <v>0</v>
      </c>
      <c r="O31" s="351" t="str">
        <f t="shared" si="3"/>
        <v/>
      </c>
      <c r="P31" s="351">
        <f t="shared" si="12"/>
        <v>0</v>
      </c>
      <c r="Q31" s="235">
        <f t="shared" si="13"/>
        <v>0</v>
      </c>
      <c r="R31" s="322">
        <f t="shared" si="14"/>
        <v>0</v>
      </c>
      <c r="S31" s="252"/>
      <c r="T31" s="252"/>
      <c r="U31" s="251"/>
      <c r="V31" s="250"/>
    </row>
    <row r="32" spans="1:33" s="249" customFormat="1" ht="13.8">
      <c r="A32" s="239">
        <f t="shared" si="15"/>
        <v>15</v>
      </c>
      <c r="B32" s="219" t="s">
        <v>37</v>
      </c>
      <c r="C32" s="218" t="s">
        <v>10</v>
      </c>
      <c r="D32" s="217">
        <v>79.53</v>
      </c>
      <c r="E32" s="217">
        <v>74.010000000000005</v>
      </c>
      <c r="F32" s="216">
        <f t="shared" si="8"/>
        <v>5886.02</v>
      </c>
      <c r="G32" s="320">
        <f t="shared" si="9"/>
        <v>-34.26</v>
      </c>
      <c r="H32" s="238">
        <v>39.75</v>
      </c>
      <c r="I32" s="238">
        <f t="shared" si="10"/>
        <v>3161.32</v>
      </c>
      <c r="J32" s="237"/>
      <c r="K32" s="361"/>
      <c r="L32" s="350"/>
      <c r="M32" s="350"/>
      <c r="N32" s="350">
        <f t="shared" si="11"/>
        <v>0</v>
      </c>
      <c r="O32" s="351" t="str">
        <f t="shared" si="3"/>
        <v/>
      </c>
      <c r="P32" s="351">
        <f t="shared" si="12"/>
        <v>0</v>
      </c>
      <c r="Q32" s="235">
        <f t="shared" si="13"/>
        <v>0</v>
      </c>
      <c r="R32" s="322">
        <f t="shared" si="14"/>
        <v>0</v>
      </c>
      <c r="S32" s="252"/>
      <c r="T32" s="252"/>
      <c r="U32" s="251"/>
      <c r="V32" s="250"/>
    </row>
    <row r="33" spans="1:22" s="249" customFormat="1" ht="13.8">
      <c r="A33" s="239">
        <f t="shared" si="15"/>
        <v>16</v>
      </c>
      <c r="B33" s="219" t="s">
        <v>38</v>
      </c>
      <c r="C33" s="218" t="s">
        <v>10</v>
      </c>
      <c r="D33" s="217">
        <v>59.3</v>
      </c>
      <c r="E33" s="217">
        <v>30077.59</v>
      </c>
      <c r="F33" s="216">
        <f t="shared" si="8"/>
        <v>1783601.09</v>
      </c>
      <c r="G33" s="320">
        <f t="shared" si="9"/>
        <v>-24444.22</v>
      </c>
      <c r="H33" s="238">
        <v>5633.37</v>
      </c>
      <c r="I33" s="238">
        <f t="shared" si="10"/>
        <v>334058.84000000003</v>
      </c>
      <c r="J33" s="237"/>
      <c r="K33" s="361"/>
      <c r="L33" s="350"/>
      <c r="M33" s="350"/>
      <c r="N33" s="350">
        <f t="shared" si="11"/>
        <v>0</v>
      </c>
      <c r="O33" s="351" t="str">
        <f t="shared" si="3"/>
        <v/>
      </c>
      <c r="P33" s="351">
        <f t="shared" si="12"/>
        <v>0</v>
      </c>
      <c r="Q33" s="235">
        <f t="shared" si="13"/>
        <v>0</v>
      </c>
      <c r="R33" s="322">
        <f t="shared" si="14"/>
        <v>0</v>
      </c>
      <c r="S33" s="252"/>
      <c r="T33" s="252"/>
      <c r="U33" s="251"/>
      <c r="V33" s="250"/>
    </row>
    <row r="34" spans="1:22" s="249" customFormat="1" ht="13.8">
      <c r="A34" s="239">
        <f t="shared" si="15"/>
        <v>17</v>
      </c>
      <c r="B34" s="219" t="s">
        <v>39</v>
      </c>
      <c r="C34" s="218" t="s">
        <v>25</v>
      </c>
      <c r="D34" s="217">
        <v>213.4</v>
      </c>
      <c r="E34" s="217">
        <v>384.62</v>
      </c>
      <c r="F34" s="216">
        <f t="shared" si="8"/>
        <v>82077.91</v>
      </c>
      <c r="G34" s="320">
        <f t="shared" si="9"/>
        <v>0</v>
      </c>
      <c r="H34" s="238">
        <v>384.62</v>
      </c>
      <c r="I34" s="238">
        <f t="shared" si="10"/>
        <v>82077.91</v>
      </c>
      <c r="J34" s="237"/>
      <c r="K34" s="320"/>
      <c r="L34" s="235"/>
      <c r="M34" s="235"/>
      <c r="N34" s="235">
        <f t="shared" si="11"/>
        <v>0</v>
      </c>
      <c r="O34" s="321" t="str">
        <f t="shared" si="3"/>
        <v/>
      </c>
      <c r="P34" s="321">
        <f t="shared" si="12"/>
        <v>0</v>
      </c>
      <c r="Q34" s="235">
        <f t="shared" si="13"/>
        <v>0</v>
      </c>
      <c r="R34" s="322">
        <f t="shared" si="14"/>
        <v>0</v>
      </c>
      <c r="S34" s="252"/>
      <c r="T34" s="252"/>
      <c r="U34" s="251"/>
      <c r="V34" s="250"/>
    </row>
    <row r="35" spans="1:22" ht="13.8">
      <c r="A35" s="239">
        <f t="shared" si="15"/>
        <v>18</v>
      </c>
      <c r="B35" s="219" t="s">
        <v>40</v>
      </c>
      <c r="C35" s="218" t="s">
        <v>25</v>
      </c>
      <c r="D35" s="217">
        <v>127.61</v>
      </c>
      <c r="E35" s="217">
        <v>795</v>
      </c>
      <c r="F35" s="216">
        <f t="shared" si="8"/>
        <v>101449.95</v>
      </c>
      <c r="G35" s="320">
        <f t="shared" si="9"/>
        <v>0</v>
      </c>
      <c r="H35" s="238">
        <v>795</v>
      </c>
      <c r="I35" s="238">
        <f t="shared" si="10"/>
        <v>101449.95</v>
      </c>
      <c r="J35" s="237"/>
      <c r="K35" s="236"/>
      <c r="L35" s="235"/>
      <c r="M35" s="235"/>
      <c r="N35" s="235">
        <f t="shared" si="11"/>
        <v>0</v>
      </c>
      <c r="O35" s="235"/>
      <c r="P35" s="321">
        <f t="shared" si="12"/>
        <v>0</v>
      </c>
      <c r="Q35" s="235">
        <f t="shared" si="13"/>
        <v>0</v>
      </c>
      <c r="R35" s="322">
        <f t="shared" si="14"/>
        <v>0</v>
      </c>
      <c r="S35" s="248"/>
      <c r="T35" s="205"/>
      <c r="V35" s="181"/>
    </row>
    <row r="36" spans="1:22" ht="13.8">
      <c r="A36" s="239">
        <f t="shared" si="15"/>
        <v>19</v>
      </c>
      <c r="B36" s="219" t="s">
        <v>41</v>
      </c>
      <c r="C36" s="218" t="s">
        <v>10</v>
      </c>
      <c r="D36" s="217">
        <v>474.36</v>
      </c>
      <c r="E36" s="217">
        <v>1717</v>
      </c>
      <c r="F36" s="216">
        <f t="shared" si="8"/>
        <v>814476.12</v>
      </c>
      <c r="G36" s="320">
        <f t="shared" si="9"/>
        <v>-717</v>
      </c>
      <c r="H36" s="238">
        <v>1000</v>
      </c>
      <c r="I36" s="238">
        <f t="shared" si="10"/>
        <v>474360</v>
      </c>
      <c r="J36" s="237"/>
      <c r="K36" s="238"/>
      <c r="L36" s="235"/>
      <c r="M36" s="235"/>
      <c r="N36" s="235">
        <f t="shared" si="11"/>
        <v>0</v>
      </c>
      <c r="O36" s="235" t="str">
        <f>IF(M36+K36=0,"",M36+K36)</f>
        <v/>
      </c>
      <c r="P36" s="321">
        <f t="shared" si="12"/>
        <v>0</v>
      </c>
      <c r="Q36" s="235">
        <f t="shared" si="13"/>
        <v>0</v>
      </c>
      <c r="R36" s="322">
        <f t="shared" si="14"/>
        <v>0</v>
      </c>
      <c r="S36" s="248"/>
      <c r="T36" s="205"/>
      <c r="V36" s="181"/>
    </row>
    <row r="37" spans="1:22" s="249" customFormat="1" ht="13.8">
      <c r="A37" s="239">
        <f t="shared" si="15"/>
        <v>20</v>
      </c>
      <c r="B37" s="219" t="s">
        <v>42</v>
      </c>
      <c r="C37" s="218" t="s">
        <v>47</v>
      </c>
      <c r="D37" s="217">
        <v>111.72</v>
      </c>
      <c r="E37" s="217">
        <v>18000</v>
      </c>
      <c r="F37" s="216">
        <f t="shared" si="8"/>
        <v>2010960</v>
      </c>
      <c r="G37" s="320">
        <f t="shared" si="9"/>
        <v>-10989.12</v>
      </c>
      <c r="H37" s="345">
        <v>7010.8841000000002</v>
      </c>
      <c r="I37" s="238">
        <f t="shared" si="10"/>
        <v>783255.97</v>
      </c>
      <c r="J37" s="237"/>
      <c r="K37" s="236"/>
      <c r="L37" s="235"/>
      <c r="M37" s="235"/>
      <c r="N37" s="235">
        <f t="shared" si="11"/>
        <v>0</v>
      </c>
      <c r="O37" s="235" t="str">
        <f>IF(M37+K37=0,"",M37+K37)</f>
        <v/>
      </c>
      <c r="P37" s="321">
        <f t="shared" si="12"/>
        <v>0</v>
      </c>
      <c r="Q37" s="235">
        <f t="shared" si="13"/>
        <v>0</v>
      </c>
      <c r="R37" s="322">
        <f t="shared" si="14"/>
        <v>0</v>
      </c>
      <c r="S37" s="253"/>
      <c r="T37" s="252"/>
      <c r="U37" s="251"/>
      <c r="V37" s="250"/>
    </row>
    <row r="38" spans="1:22" s="249" customFormat="1" ht="13.8">
      <c r="A38" s="239">
        <f t="shared" si="15"/>
        <v>21</v>
      </c>
      <c r="B38" s="219" t="s">
        <v>43</v>
      </c>
      <c r="C38" s="218" t="s">
        <v>47</v>
      </c>
      <c r="D38" s="217">
        <v>1596.02</v>
      </c>
      <c r="E38" s="217">
        <v>343.55</v>
      </c>
      <c r="F38" s="216">
        <f t="shared" si="8"/>
        <v>548312.67000000004</v>
      </c>
      <c r="G38" s="320">
        <f t="shared" si="9"/>
        <v>0</v>
      </c>
      <c r="H38" s="238">
        <v>343.55</v>
      </c>
      <c r="I38" s="238">
        <f t="shared" si="10"/>
        <v>548312.67000000004</v>
      </c>
      <c r="J38" s="237"/>
      <c r="K38" s="236"/>
      <c r="L38" s="235"/>
      <c r="M38" s="235"/>
      <c r="N38" s="235">
        <f t="shared" si="11"/>
        <v>0</v>
      </c>
      <c r="O38" s="235" t="str">
        <f>IF(M38+K38=0,"",M38+K38)</f>
        <v/>
      </c>
      <c r="P38" s="321">
        <f t="shared" si="12"/>
        <v>0</v>
      </c>
      <c r="Q38" s="235">
        <f t="shared" si="13"/>
        <v>0</v>
      </c>
      <c r="R38" s="322">
        <f t="shared" si="14"/>
        <v>0</v>
      </c>
      <c r="S38" s="253"/>
      <c r="T38" s="252"/>
      <c r="U38" s="251"/>
      <c r="V38" s="250"/>
    </row>
    <row r="39" spans="1:22" ht="13.8">
      <c r="A39" s="239">
        <f t="shared" si="15"/>
        <v>22</v>
      </c>
      <c r="B39" s="219" t="s">
        <v>44</v>
      </c>
      <c r="C39" s="218" t="s">
        <v>10</v>
      </c>
      <c r="D39" s="217">
        <v>638.48</v>
      </c>
      <c r="E39" s="217">
        <v>70.819999999999993</v>
      </c>
      <c r="F39" s="216">
        <f t="shared" si="8"/>
        <v>45217.15</v>
      </c>
      <c r="G39" s="320">
        <f t="shared" si="9"/>
        <v>0</v>
      </c>
      <c r="H39" s="238">
        <v>70.819999999999993</v>
      </c>
      <c r="I39" s="238">
        <f t="shared" si="10"/>
        <v>45217.15</v>
      </c>
      <c r="J39" s="237"/>
      <c r="K39" s="236"/>
      <c r="L39" s="235"/>
      <c r="M39" s="235"/>
      <c r="N39" s="235">
        <f t="shared" si="11"/>
        <v>0</v>
      </c>
      <c r="O39" s="235"/>
      <c r="P39" s="321">
        <f t="shared" si="12"/>
        <v>0</v>
      </c>
      <c r="Q39" s="235">
        <f t="shared" si="13"/>
        <v>0</v>
      </c>
      <c r="R39" s="322">
        <f t="shared" si="14"/>
        <v>0</v>
      </c>
      <c r="S39" s="248"/>
      <c r="T39" s="205"/>
      <c r="V39" s="181"/>
    </row>
    <row r="40" spans="1:22" ht="13.8">
      <c r="A40" s="323">
        <f t="shared" si="15"/>
        <v>23</v>
      </c>
      <c r="B40" s="215" t="s">
        <v>45</v>
      </c>
      <c r="C40" s="214" t="s">
        <v>47</v>
      </c>
      <c r="D40" s="213">
        <v>44.35</v>
      </c>
      <c r="E40" s="213">
        <v>2726.08</v>
      </c>
      <c r="F40" s="212">
        <f t="shared" si="8"/>
        <v>120901.65</v>
      </c>
      <c r="G40" s="324">
        <f t="shared" si="9"/>
        <v>0</v>
      </c>
      <c r="H40" s="325">
        <v>2726.08</v>
      </c>
      <c r="I40" s="325">
        <f t="shared" si="10"/>
        <v>120901.65</v>
      </c>
      <c r="J40" s="326"/>
      <c r="K40" s="331"/>
      <c r="L40" s="328"/>
      <c r="M40" s="328"/>
      <c r="N40" s="328">
        <f t="shared" si="11"/>
        <v>0</v>
      </c>
      <c r="O40" s="328"/>
      <c r="P40" s="327">
        <f t="shared" si="12"/>
        <v>0</v>
      </c>
      <c r="Q40" s="328">
        <f t="shared" si="13"/>
        <v>0</v>
      </c>
      <c r="R40" s="329">
        <f t="shared" si="14"/>
        <v>0</v>
      </c>
      <c r="S40" s="248"/>
      <c r="T40" s="205"/>
      <c r="V40" s="181"/>
    </row>
    <row r="41" spans="1:22" ht="13.8">
      <c r="A41" s="229"/>
      <c r="B41" s="228" t="s">
        <v>48</v>
      </c>
      <c r="C41" s="227"/>
      <c r="D41" s="226"/>
      <c r="E41" s="226"/>
      <c r="F41" s="225"/>
      <c r="G41" s="226"/>
      <c r="H41" s="225"/>
      <c r="I41" s="225"/>
      <c r="J41" s="224"/>
      <c r="K41" s="223"/>
      <c r="L41" s="221"/>
      <c r="M41" s="221"/>
      <c r="N41" s="221"/>
      <c r="O41" s="221"/>
      <c r="P41" s="222"/>
      <c r="Q41" s="221"/>
      <c r="R41" s="220"/>
      <c r="S41" s="181"/>
      <c r="T41" s="205"/>
      <c r="V41" s="181"/>
    </row>
    <row r="42" spans="1:22" ht="13.8">
      <c r="A42" s="313">
        <v>24</v>
      </c>
      <c r="B42" s="241" t="s">
        <v>17</v>
      </c>
      <c r="C42" s="234" t="s">
        <v>18</v>
      </c>
      <c r="D42" s="233">
        <v>47860.38</v>
      </c>
      <c r="E42" s="233">
        <v>1</v>
      </c>
      <c r="F42" s="240">
        <f t="shared" ref="F42:F55" si="16">D42*E42</f>
        <v>47860.38</v>
      </c>
      <c r="G42" s="314">
        <f t="shared" ref="G42:G55" si="17">+H42-E42</f>
        <v>0</v>
      </c>
      <c r="H42" s="315">
        <v>1</v>
      </c>
      <c r="I42" s="315">
        <f t="shared" ref="I42:I55" si="18">+H42*D42</f>
        <v>47860.38</v>
      </c>
      <c r="J42" s="330"/>
      <c r="K42" s="315"/>
      <c r="L42" s="317"/>
      <c r="M42" s="317"/>
      <c r="N42" s="317">
        <f t="shared" ref="N42:N55" si="19">ROUND(M42*D42,2)</f>
        <v>0</v>
      </c>
      <c r="O42" s="317" t="str">
        <f t="shared" ref="O42:O55" si="20">IF(M42+K42=0,"",M42+K42)</f>
        <v/>
      </c>
      <c r="P42" s="318">
        <f t="shared" ref="P42:P55" si="21">L42+N42</f>
        <v>0</v>
      </c>
      <c r="Q42" s="317">
        <f t="shared" ref="Q42:Q55" si="22">IF(ISERROR(N42/I42),"",ROUND(N42/I42*100,2))</f>
        <v>0</v>
      </c>
      <c r="R42" s="319">
        <f t="shared" ref="R42:R55" si="23">IF(ISERROR(P42/I42),"",ROUND(P42/I42*100,2))</f>
        <v>0</v>
      </c>
      <c r="S42" s="181"/>
      <c r="T42" s="205"/>
    </row>
    <row r="43" spans="1:22" ht="13.8">
      <c r="A43" s="239">
        <f t="shared" ref="A43:A55" si="24">1+A42</f>
        <v>25</v>
      </c>
      <c r="B43" s="219" t="s">
        <v>32</v>
      </c>
      <c r="C43" s="218" t="s">
        <v>18</v>
      </c>
      <c r="D43" s="217">
        <v>3848.37</v>
      </c>
      <c r="E43" s="217">
        <v>1</v>
      </c>
      <c r="F43" s="216">
        <f t="shared" si="16"/>
        <v>3848.37</v>
      </c>
      <c r="G43" s="320">
        <f t="shared" si="17"/>
        <v>0</v>
      </c>
      <c r="H43" s="238">
        <v>1</v>
      </c>
      <c r="I43" s="238">
        <f t="shared" si="18"/>
        <v>3848.37</v>
      </c>
      <c r="J43" s="237"/>
      <c r="K43" s="238"/>
      <c r="L43" s="235"/>
      <c r="M43" s="235"/>
      <c r="N43" s="235">
        <f t="shared" si="19"/>
        <v>0</v>
      </c>
      <c r="O43" s="235" t="str">
        <f t="shared" si="20"/>
        <v/>
      </c>
      <c r="P43" s="321">
        <f t="shared" si="21"/>
        <v>0</v>
      </c>
      <c r="Q43" s="235">
        <f t="shared" si="22"/>
        <v>0</v>
      </c>
      <c r="R43" s="322">
        <f t="shared" si="23"/>
        <v>0</v>
      </c>
      <c r="S43" s="181"/>
      <c r="T43" s="205"/>
    </row>
    <row r="44" spans="1:22" s="244" customFormat="1" ht="13.8">
      <c r="A44" s="239">
        <f t="shared" si="24"/>
        <v>26</v>
      </c>
      <c r="B44" s="219" t="s">
        <v>49</v>
      </c>
      <c r="C44" s="218" t="s">
        <v>10</v>
      </c>
      <c r="D44" s="217">
        <v>27.03</v>
      </c>
      <c r="E44" s="217">
        <v>797</v>
      </c>
      <c r="F44" s="216">
        <f t="shared" si="16"/>
        <v>21542.91</v>
      </c>
      <c r="G44" s="320">
        <f t="shared" si="17"/>
        <v>295.10000000000002</v>
      </c>
      <c r="H44" s="238">
        <v>1092.0999999999999</v>
      </c>
      <c r="I44" s="238">
        <f t="shared" si="18"/>
        <v>29519.46</v>
      </c>
      <c r="J44" s="237"/>
      <c r="K44" s="236"/>
      <c r="L44" s="235"/>
      <c r="M44" s="235"/>
      <c r="N44" s="235">
        <f t="shared" si="19"/>
        <v>0</v>
      </c>
      <c r="O44" s="235" t="str">
        <f t="shared" si="20"/>
        <v/>
      </c>
      <c r="P44" s="321">
        <f t="shared" si="21"/>
        <v>0</v>
      </c>
      <c r="Q44" s="235">
        <f t="shared" si="22"/>
        <v>0</v>
      </c>
      <c r="R44" s="322">
        <f t="shared" si="23"/>
        <v>0</v>
      </c>
      <c r="S44" s="247"/>
      <c r="T44" s="246"/>
      <c r="U44" s="245"/>
    </row>
    <row r="45" spans="1:22" s="244" customFormat="1" ht="13.8">
      <c r="A45" s="239">
        <f t="shared" si="24"/>
        <v>27</v>
      </c>
      <c r="B45" s="219" t="s">
        <v>35</v>
      </c>
      <c r="C45" s="218" t="s">
        <v>10</v>
      </c>
      <c r="D45" s="217">
        <v>1801.53</v>
      </c>
      <c r="E45" s="217">
        <v>486.72</v>
      </c>
      <c r="F45" s="216">
        <f t="shared" si="16"/>
        <v>876840.68</v>
      </c>
      <c r="G45" s="320">
        <f t="shared" si="17"/>
        <v>150.13999999999999</v>
      </c>
      <c r="H45" s="238">
        <v>636.86</v>
      </c>
      <c r="I45" s="238">
        <f t="shared" si="18"/>
        <v>1147322.3999999999</v>
      </c>
      <c r="J45" s="237"/>
      <c r="K45" s="236"/>
      <c r="L45" s="235"/>
      <c r="M45" s="235"/>
      <c r="N45" s="235">
        <f t="shared" si="19"/>
        <v>0</v>
      </c>
      <c r="O45" s="235" t="str">
        <f t="shared" si="20"/>
        <v/>
      </c>
      <c r="P45" s="321">
        <f t="shared" si="21"/>
        <v>0</v>
      </c>
      <c r="Q45" s="235">
        <f t="shared" si="22"/>
        <v>0</v>
      </c>
      <c r="R45" s="322">
        <f t="shared" si="23"/>
        <v>0</v>
      </c>
      <c r="S45" s="247"/>
      <c r="T45" s="246"/>
      <c r="U45" s="245"/>
    </row>
    <row r="46" spans="1:22" s="244" customFormat="1" ht="13.8">
      <c r="A46" s="239">
        <f t="shared" si="24"/>
        <v>28</v>
      </c>
      <c r="B46" s="219" t="s">
        <v>36</v>
      </c>
      <c r="C46" s="218" t="s">
        <v>46</v>
      </c>
      <c r="D46" s="217">
        <v>15.35</v>
      </c>
      <c r="E46" s="217">
        <v>31927.89</v>
      </c>
      <c r="F46" s="216">
        <f t="shared" si="16"/>
        <v>490093.11</v>
      </c>
      <c r="G46" s="320">
        <f t="shared" si="17"/>
        <v>-984.49</v>
      </c>
      <c r="H46" s="238">
        <v>30943.4</v>
      </c>
      <c r="I46" s="238">
        <f t="shared" si="18"/>
        <v>474981.19</v>
      </c>
      <c r="J46" s="237"/>
      <c r="K46" s="238"/>
      <c r="L46" s="235"/>
      <c r="M46" s="235"/>
      <c r="N46" s="235">
        <f t="shared" si="19"/>
        <v>0</v>
      </c>
      <c r="O46" s="235" t="str">
        <f t="shared" si="20"/>
        <v/>
      </c>
      <c r="P46" s="321">
        <f t="shared" si="21"/>
        <v>0</v>
      </c>
      <c r="Q46" s="235">
        <f t="shared" si="22"/>
        <v>0</v>
      </c>
      <c r="R46" s="322">
        <f t="shared" si="23"/>
        <v>0</v>
      </c>
      <c r="S46" s="247"/>
      <c r="T46" s="246"/>
      <c r="U46" s="245"/>
    </row>
    <row r="47" spans="1:22" ht="13.8">
      <c r="A47" s="239">
        <f t="shared" si="24"/>
        <v>29</v>
      </c>
      <c r="B47" s="219" t="s">
        <v>50</v>
      </c>
      <c r="C47" s="218" t="s">
        <v>47</v>
      </c>
      <c r="D47" s="217">
        <v>3943.09</v>
      </c>
      <c r="E47" s="217">
        <v>105</v>
      </c>
      <c r="F47" s="216">
        <f t="shared" si="16"/>
        <v>414024.45</v>
      </c>
      <c r="G47" s="320">
        <f t="shared" si="17"/>
        <v>35</v>
      </c>
      <c r="H47" s="238">
        <v>140</v>
      </c>
      <c r="I47" s="238">
        <f t="shared" si="18"/>
        <v>552032.6</v>
      </c>
      <c r="J47" s="237"/>
      <c r="K47" s="238"/>
      <c r="L47" s="235"/>
      <c r="M47" s="235"/>
      <c r="N47" s="235">
        <f t="shared" si="19"/>
        <v>0</v>
      </c>
      <c r="O47" s="235" t="str">
        <f t="shared" si="20"/>
        <v/>
      </c>
      <c r="P47" s="321">
        <f t="shared" si="21"/>
        <v>0</v>
      </c>
      <c r="Q47" s="235">
        <f t="shared" si="22"/>
        <v>0</v>
      </c>
      <c r="R47" s="322">
        <f t="shared" si="23"/>
        <v>0</v>
      </c>
      <c r="S47" s="181"/>
      <c r="T47" s="205"/>
    </row>
    <row r="48" spans="1:22" ht="13.8">
      <c r="A48" s="239">
        <f t="shared" si="24"/>
        <v>30</v>
      </c>
      <c r="B48" s="219" t="s">
        <v>51</v>
      </c>
      <c r="C48" s="218" t="s">
        <v>58</v>
      </c>
      <c r="D48" s="217">
        <v>403.4</v>
      </c>
      <c r="E48" s="217">
        <v>48</v>
      </c>
      <c r="F48" s="216">
        <f t="shared" si="16"/>
        <v>19363.2</v>
      </c>
      <c r="G48" s="320">
        <f t="shared" si="17"/>
        <v>16</v>
      </c>
      <c r="H48" s="238">
        <v>64</v>
      </c>
      <c r="I48" s="238">
        <f t="shared" si="18"/>
        <v>25817.599999999999</v>
      </c>
      <c r="J48" s="237"/>
      <c r="K48" s="238"/>
      <c r="L48" s="235"/>
      <c r="M48" s="235"/>
      <c r="N48" s="235">
        <f t="shared" si="19"/>
        <v>0</v>
      </c>
      <c r="O48" s="235" t="str">
        <f t="shared" si="20"/>
        <v/>
      </c>
      <c r="P48" s="321">
        <f t="shared" si="21"/>
        <v>0</v>
      </c>
      <c r="Q48" s="235">
        <f t="shared" si="22"/>
        <v>0</v>
      </c>
      <c r="R48" s="322">
        <f t="shared" si="23"/>
        <v>0</v>
      </c>
      <c r="S48" s="181"/>
      <c r="T48" s="205"/>
    </row>
    <row r="49" spans="1:21" ht="13.8">
      <c r="A49" s="239">
        <f t="shared" si="24"/>
        <v>31</v>
      </c>
      <c r="B49" s="219" t="s">
        <v>52</v>
      </c>
      <c r="C49" s="218" t="s">
        <v>18</v>
      </c>
      <c r="D49" s="217">
        <v>45986.77</v>
      </c>
      <c r="E49" s="217">
        <v>0.65</v>
      </c>
      <c r="F49" s="216">
        <f t="shared" si="16"/>
        <v>29891.4</v>
      </c>
      <c r="G49" s="320">
        <f t="shared" si="17"/>
        <v>0.22</v>
      </c>
      <c r="H49" s="238">
        <v>0.87</v>
      </c>
      <c r="I49" s="238">
        <f t="shared" si="18"/>
        <v>40008.49</v>
      </c>
      <c r="J49" s="237"/>
      <c r="K49" s="238"/>
      <c r="L49" s="235"/>
      <c r="M49" s="235"/>
      <c r="N49" s="235">
        <f t="shared" si="19"/>
        <v>0</v>
      </c>
      <c r="O49" s="235" t="str">
        <f t="shared" si="20"/>
        <v/>
      </c>
      <c r="P49" s="321">
        <f t="shared" si="21"/>
        <v>0</v>
      </c>
      <c r="Q49" s="235">
        <f t="shared" si="22"/>
        <v>0</v>
      </c>
      <c r="R49" s="322">
        <f t="shared" si="23"/>
        <v>0</v>
      </c>
      <c r="S49" s="181"/>
      <c r="T49" s="205"/>
    </row>
    <row r="50" spans="1:21" ht="13.8">
      <c r="A50" s="239">
        <f t="shared" si="24"/>
        <v>32</v>
      </c>
      <c r="B50" s="219" t="s">
        <v>53</v>
      </c>
      <c r="C50" s="218" t="s">
        <v>47</v>
      </c>
      <c r="D50" s="217">
        <v>825.66</v>
      </c>
      <c r="E50" s="217">
        <v>18.2</v>
      </c>
      <c r="F50" s="216">
        <f t="shared" si="16"/>
        <v>15027.01</v>
      </c>
      <c r="G50" s="320">
        <f t="shared" si="17"/>
        <v>0</v>
      </c>
      <c r="H50" s="238">
        <v>18.2</v>
      </c>
      <c r="I50" s="238">
        <f t="shared" si="18"/>
        <v>15027.01</v>
      </c>
      <c r="J50" s="237"/>
      <c r="K50" s="238"/>
      <c r="L50" s="235"/>
      <c r="M50" s="235"/>
      <c r="N50" s="235">
        <f t="shared" si="19"/>
        <v>0</v>
      </c>
      <c r="O50" s="235" t="str">
        <f t="shared" si="20"/>
        <v/>
      </c>
      <c r="P50" s="321">
        <f t="shared" si="21"/>
        <v>0</v>
      </c>
      <c r="Q50" s="235">
        <f t="shared" si="22"/>
        <v>0</v>
      </c>
      <c r="R50" s="322">
        <f t="shared" si="23"/>
        <v>0</v>
      </c>
      <c r="S50" s="181"/>
      <c r="T50" s="205"/>
    </row>
    <row r="51" spans="1:21" ht="13.8">
      <c r="A51" s="239">
        <f t="shared" si="24"/>
        <v>33</v>
      </c>
      <c r="B51" s="219" t="s">
        <v>54</v>
      </c>
      <c r="C51" s="218" t="s">
        <v>47</v>
      </c>
      <c r="D51" s="217">
        <v>83.48</v>
      </c>
      <c r="E51" s="217">
        <v>47.3</v>
      </c>
      <c r="F51" s="216">
        <f t="shared" si="16"/>
        <v>3948.6</v>
      </c>
      <c r="G51" s="320">
        <f t="shared" si="17"/>
        <v>0</v>
      </c>
      <c r="H51" s="238">
        <v>47.3</v>
      </c>
      <c r="I51" s="238">
        <f t="shared" si="18"/>
        <v>3948.6</v>
      </c>
      <c r="J51" s="237"/>
      <c r="K51" s="238"/>
      <c r="L51" s="235"/>
      <c r="M51" s="235"/>
      <c r="N51" s="235">
        <f t="shared" si="19"/>
        <v>0</v>
      </c>
      <c r="O51" s="235" t="str">
        <f t="shared" si="20"/>
        <v/>
      </c>
      <c r="P51" s="321">
        <f t="shared" si="21"/>
        <v>0</v>
      </c>
      <c r="Q51" s="235">
        <f t="shared" si="22"/>
        <v>0</v>
      </c>
      <c r="R51" s="322">
        <f t="shared" si="23"/>
        <v>0</v>
      </c>
      <c r="S51" s="181"/>
      <c r="T51" s="205"/>
    </row>
    <row r="52" spans="1:21" ht="13.8">
      <c r="A52" s="239">
        <f t="shared" si="24"/>
        <v>34</v>
      </c>
      <c r="B52" s="219" t="s">
        <v>55</v>
      </c>
      <c r="C52" s="218" t="s">
        <v>10</v>
      </c>
      <c r="D52" s="217">
        <v>150.47999999999999</v>
      </c>
      <c r="E52" s="217">
        <v>106.76</v>
      </c>
      <c r="F52" s="216">
        <f t="shared" si="16"/>
        <v>16065.24</v>
      </c>
      <c r="G52" s="320">
        <f t="shared" si="17"/>
        <v>34.57</v>
      </c>
      <c r="H52" s="238">
        <v>141.33000000000001</v>
      </c>
      <c r="I52" s="238">
        <f t="shared" si="18"/>
        <v>21267.34</v>
      </c>
      <c r="J52" s="237"/>
      <c r="K52" s="238"/>
      <c r="L52" s="235"/>
      <c r="M52" s="235"/>
      <c r="N52" s="235">
        <f t="shared" si="19"/>
        <v>0</v>
      </c>
      <c r="O52" s="235" t="str">
        <f t="shared" si="20"/>
        <v/>
      </c>
      <c r="P52" s="321">
        <f t="shared" si="21"/>
        <v>0</v>
      </c>
      <c r="Q52" s="235">
        <f t="shared" si="22"/>
        <v>0</v>
      </c>
      <c r="R52" s="322">
        <f t="shared" si="23"/>
        <v>0</v>
      </c>
      <c r="S52" s="181"/>
      <c r="T52" s="205"/>
    </row>
    <row r="53" spans="1:21" s="244" customFormat="1" ht="13.8">
      <c r="A53" s="239">
        <f t="shared" si="24"/>
        <v>35</v>
      </c>
      <c r="B53" s="219" t="s">
        <v>44</v>
      </c>
      <c r="C53" s="218" t="s">
        <v>10</v>
      </c>
      <c r="D53" s="217">
        <v>638.48</v>
      </c>
      <c r="E53" s="217">
        <v>20.6</v>
      </c>
      <c r="F53" s="216">
        <f t="shared" si="16"/>
        <v>13152.69</v>
      </c>
      <c r="G53" s="320">
        <f t="shared" si="17"/>
        <v>2.64</v>
      </c>
      <c r="H53" s="238">
        <v>23.24</v>
      </c>
      <c r="I53" s="238">
        <f t="shared" si="18"/>
        <v>14838.28</v>
      </c>
      <c r="J53" s="237"/>
      <c r="K53" s="238"/>
      <c r="L53" s="235"/>
      <c r="M53" s="235"/>
      <c r="N53" s="235">
        <f t="shared" si="19"/>
        <v>0</v>
      </c>
      <c r="O53" s="235" t="str">
        <f t="shared" si="20"/>
        <v/>
      </c>
      <c r="P53" s="321">
        <f t="shared" si="21"/>
        <v>0</v>
      </c>
      <c r="Q53" s="235">
        <f t="shared" si="22"/>
        <v>0</v>
      </c>
      <c r="R53" s="322">
        <f t="shared" si="23"/>
        <v>0</v>
      </c>
      <c r="S53" s="247"/>
      <c r="T53" s="246"/>
      <c r="U53" s="245"/>
    </row>
    <row r="54" spans="1:21" ht="13.8">
      <c r="A54" s="239">
        <f t="shared" si="24"/>
        <v>36</v>
      </c>
      <c r="B54" s="219" t="s">
        <v>56</v>
      </c>
      <c r="C54" s="218" t="s">
        <v>10</v>
      </c>
      <c r="D54" s="217">
        <v>573.79</v>
      </c>
      <c r="E54" s="217">
        <v>476</v>
      </c>
      <c r="F54" s="216">
        <f t="shared" si="16"/>
        <v>273124.03999999998</v>
      </c>
      <c r="G54" s="320">
        <f t="shared" si="17"/>
        <v>-476</v>
      </c>
      <c r="H54" s="238">
        <v>0</v>
      </c>
      <c r="I54" s="238">
        <f t="shared" si="18"/>
        <v>0</v>
      </c>
      <c r="J54" s="237"/>
      <c r="K54" s="238"/>
      <c r="L54" s="235"/>
      <c r="M54" s="235"/>
      <c r="N54" s="235">
        <f t="shared" si="19"/>
        <v>0</v>
      </c>
      <c r="O54" s="235" t="str">
        <f t="shared" si="20"/>
        <v/>
      </c>
      <c r="P54" s="321">
        <f t="shared" si="21"/>
        <v>0</v>
      </c>
      <c r="Q54" s="235" t="str">
        <f t="shared" si="22"/>
        <v/>
      </c>
      <c r="R54" s="322" t="str">
        <f t="shared" si="23"/>
        <v/>
      </c>
      <c r="S54" s="181"/>
      <c r="T54" s="205"/>
    </row>
    <row r="55" spans="1:21" ht="13.8">
      <c r="A55" s="323">
        <f t="shared" si="24"/>
        <v>37</v>
      </c>
      <c r="B55" s="215" t="s">
        <v>57</v>
      </c>
      <c r="C55" s="214" t="s">
        <v>18</v>
      </c>
      <c r="D55" s="213">
        <v>4553.8599999999997</v>
      </c>
      <c r="E55" s="213">
        <v>1</v>
      </c>
      <c r="F55" s="243">
        <f t="shared" si="16"/>
        <v>4553.8599999999997</v>
      </c>
      <c r="G55" s="324">
        <f t="shared" si="17"/>
        <v>0</v>
      </c>
      <c r="H55" s="325">
        <v>1</v>
      </c>
      <c r="I55" s="325">
        <f t="shared" si="18"/>
        <v>4553.8599999999997</v>
      </c>
      <c r="J55" s="326"/>
      <c r="K55" s="325"/>
      <c r="L55" s="328"/>
      <c r="M55" s="328"/>
      <c r="N55" s="328">
        <f t="shared" si="19"/>
        <v>0</v>
      </c>
      <c r="O55" s="328" t="str">
        <f t="shared" si="20"/>
        <v/>
      </c>
      <c r="P55" s="327">
        <f t="shared" si="21"/>
        <v>0</v>
      </c>
      <c r="Q55" s="328">
        <f t="shared" si="22"/>
        <v>0</v>
      </c>
      <c r="R55" s="329">
        <f t="shared" si="23"/>
        <v>0</v>
      </c>
      <c r="S55" s="181"/>
      <c r="T55" s="205"/>
    </row>
    <row r="56" spans="1:21" ht="13.8">
      <c r="A56" s="229"/>
      <c r="B56" s="228" t="s">
        <v>59</v>
      </c>
      <c r="C56" s="227"/>
      <c r="D56" s="242"/>
      <c r="E56" s="242"/>
      <c r="F56" s="225"/>
      <c r="G56" s="226"/>
      <c r="H56" s="225"/>
      <c r="I56" s="225"/>
      <c r="J56" s="224"/>
      <c r="K56" s="223"/>
      <c r="L56" s="221"/>
      <c r="M56" s="221"/>
      <c r="N56" s="221"/>
      <c r="O56" s="221"/>
      <c r="P56" s="222"/>
      <c r="Q56" s="221"/>
      <c r="R56" s="220"/>
      <c r="S56" s="181"/>
      <c r="T56" s="205"/>
    </row>
    <row r="57" spans="1:21" ht="13.8">
      <c r="A57" s="313">
        <v>38</v>
      </c>
      <c r="B57" s="241" t="s">
        <v>17</v>
      </c>
      <c r="C57" s="234" t="s">
        <v>18</v>
      </c>
      <c r="D57" s="233">
        <v>47860.38</v>
      </c>
      <c r="E57" s="233">
        <v>1</v>
      </c>
      <c r="F57" s="240">
        <f t="shared" ref="F57:F68" si="25">D57*E57</f>
        <v>47860.38</v>
      </c>
      <c r="G57" s="314">
        <f t="shared" ref="G57:G68" si="26">+H57-E57</f>
        <v>0</v>
      </c>
      <c r="H57" s="315">
        <v>1</v>
      </c>
      <c r="I57" s="315">
        <f t="shared" ref="I57:I68" si="27">+H57*D57</f>
        <v>47860.38</v>
      </c>
      <c r="J57" s="330"/>
      <c r="K57" s="315"/>
      <c r="L57" s="317"/>
      <c r="M57" s="317"/>
      <c r="N57" s="317">
        <f t="shared" ref="N57:N68" si="28">ROUND(M57*D57,2)</f>
        <v>0</v>
      </c>
      <c r="O57" s="317" t="str">
        <f>IF(M57+K57=0,"",M57+K57)</f>
        <v/>
      </c>
      <c r="P57" s="318">
        <f t="shared" ref="P57:P68" si="29">L57+N57</f>
        <v>0</v>
      </c>
      <c r="Q57" s="317">
        <f t="shared" ref="Q57:Q68" si="30">IF(ISERROR(N57/I57),"",ROUND(N57/I57*100,2))</f>
        <v>0</v>
      </c>
      <c r="R57" s="319">
        <f t="shared" ref="R57:R68" si="31">IF(ISERROR(P57/I57),"",ROUND(P57/I57*100,2))</f>
        <v>0</v>
      </c>
      <c r="S57" s="181"/>
      <c r="T57" s="205"/>
    </row>
    <row r="58" spans="1:21" ht="13.8">
      <c r="A58" s="239">
        <f t="shared" ref="A58:A68" si="32">A57+1</f>
        <v>39</v>
      </c>
      <c r="B58" s="219" t="s">
        <v>32</v>
      </c>
      <c r="C58" s="218" t="s">
        <v>18</v>
      </c>
      <c r="D58" s="217">
        <v>3848.37</v>
      </c>
      <c r="E58" s="217">
        <v>1</v>
      </c>
      <c r="F58" s="216">
        <f t="shared" si="25"/>
        <v>3848.37</v>
      </c>
      <c r="G58" s="320">
        <f t="shared" si="26"/>
        <v>0</v>
      </c>
      <c r="H58" s="238">
        <v>1</v>
      </c>
      <c r="I58" s="238">
        <f t="shared" si="27"/>
        <v>3848.37</v>
      </c>
      <c r="J58" s="238"/>
      <c r="K58" s="238"/>
      <c r="L58" s="235"/>
      <c r="M58" s="235"/>
      <c r="N58" s="235">
        <f t="shared" si="28"/>
        <v>0</v>
      </c>
      <c r="O58" s="235" t="str">
        <f>IF(M58+K58=0,"",M58+K58)</f>
        <v/>
      </c>
      <c r="P58" s="321">
        <f t="shared" si="29"/>
        <v>0</v>
      </c>
      <c r="Q58" s="235">
        <f t="shared" si="30"/>
        <v>0</v>
      </c>
      <c r="R58" s="322">
        <f t="shared" si="31"/>
        <v>0</v>
      </c>
      <c r="S58" s="181"/>
      <c r="T58" s="205"/>
    </row>
    <row r="59" spans="1:21" ht="13.8">
      <c r="A59" s="239">
        <f t="shared" si="32"/>
        <v>40</v>
      </c>
      <c r="B59" s="219" t="s">
        <v>33</v>
      </c>
      <c r="C59" s="218" t="s">
        <v>10</v>
      </c>
      <c r="D59" s="217">
        <v>27.03</v>
      </c>
      <c r="E59" s="217">
        <v>421.23</v>
      </c>
      <c r="F59" s="216">
        <f t="shared" si="25"/>
        <v>11385.85</v>
      </c>
      <c r="G59" s="320">
        <f t="shared" si="26"/>
        <v>0</v>
      </c>
      <c r="H59" s="238">
        <v>421.23</v>
      </c>
      <c r="I59" s="238">
        <f t="shared" si="27"/>
        <v>11385.85</v>
      </c>
      <c r="J59" s="238"/>
      <c r="K59" s="238"/>
      <c r="L59" s="235"/>
      <c r="M59" s="235"/>
      <c r="N59" s="235">
        <f t="shared" si="28"/>
        <v>0</v>
      </c>
      <c r="O59" s="235" t="str">
        <f>IF(M59+K59=0,"",M59+K59)</f>
        <v/>
      </c>
      <c r="P59" s="321">
        <f t="shared" si="29"/>
        <v>0</v>
      </c>
      <c r="Q59" s="235">
        <f t="shared" si="30"/>
        <v>0</v>
      </c>
      <c r="R59" s="322">
        <f t="shared" si="31"/>
        <v>0</v>
      </c>
      <c r="S59" s="181"/>
      <c r="T59" s="205"/>
    </row>
    <row r="60" spans="1:21" ht="13.8">
      <c r="A60" s="239">
        <f t="shared" si="32"/>
        <v>41</v>
      </c>
      <c r="B60" s="219" t="s">
        <v>60</v>
      </c>
      <c r="C60" s="218" t="s">
        <v>10</v>
      </c>
      <c r="D60" s="217">
        <v>651.46</v>
      </c>
      <c r="E60" s="217">
        <v>379.8</v>
      </c>
      <c r="F60" s="216">
        <f t="shared" si="25"/>
        <v>247424.51</v>
      </c>
      <c r="G60" s="320">
        <f t="shared" si="26"/>
        <v>0</v>
      </c>
      <c r="H60" s="238">
        <v>379.8</v>
      </c>
      <c r="I60" s="238">
        <f t="shared" si="27"/>
        <v>247424.51</v>
      </c>
      <c r="J60" s="238"/>
      <c r="K60" s="238"/>
      <c r="L60" s="235"/>
      <c r="M60" s="235"/>
      <c r="N60" s="235">
        <f t="shared" si="28"/>
        <v>0</v>
      </c>
      <c r="O60" s="235"/>
      <c r="P60" s="321">
        <f t="shared" si="29"/>
        <v>0</v>
      </c>
      <c r="Q60" s="235">
        <f t="shared" si="30"/>
        <v>0</v>
      </c>
      <c r="R60" s="322">
        <f t="shared" si="31"/>
        <v>0</v>
      </c>
      <c r="S60" s="181"/>
      <c r="T60" s="205"/>
    </row>
    <row r="61" spans="1:21" ht="13.8">
      <c r="A61" s="239">
        <f t="shared" si="32"/>
        <v>42</v>
      </c>
      <c r="B61" s="3" t="s">
        <v>35</v>
      </c>
      <c r="C61" s="10" t="s">
        <v>10</v>
      </c>
      <c r="D61" s="11">
        <v>1801.53</v>
      </c>
      <c r="E61" s="12">
        <v>95.41</v>
      </c>
      <c r="F61" s="216">
        <f t="shared" si="25"/>
        <v>171883.98</v>
      </c>
      <c r="G61" s="320">
        <f t="shared" si="26"/>
        <v>0</v>
      </c>
      <c r="H61" s="238">
        <v>95.41</v>
      </c>
      <c r="I61" s="238">
        <f t="shared" si="27"/>
        <v>171883.98</v>
      </c>
      <c r="J61" s="238"/>
      <c r="K61" s="238"/>
      <c r="L61" s="235"/>
      <c r="M61" s="235"/>
      <c r="N61" s="235">
        <f t="shared" si="28"/>
        <v>0</v>
      </c>
      <c r="O61" s="235"/>
      <c r="P61" s="321">
        <f t="shared" si="29"/>
        <v>0</v>
      </c>
      <c r="Q61" s="235">
        <f t="shared" si="30"/>
        <v>0</v>
      </c>
      <c r="R61" s="322">
        <f t="shared" si="31"/>
        <v>0</v>
      </c>
      <c r="S61" s="181"/>
      <c r="T61" s="205"/>
    </row>
    <row r="62" spans="1:21" ht="13.8">
      <c r="A62" s="239">
        <f t="shared" si="32"/>
        <v>43</v>
      </c>
      <c r="B62" s="219" t="s">
        <v>36</v>
      </c>
      <c r="C62" s="218" t="s">
        <v>46</v>
      </c>
      <c r="D62" s="217">
        <v>15.35</v>
      </c>
      <c r="E62" s="217">
        <v>7046.94</v>
      </c>
      <c r="F62" s="216">
        <f t="shared" si="25"/>
        <v>108170.53</v>
      </c>
      <c r="G62" s="320">
        <f t="shared" si="26"/>
        <v>0</v>
      </c>
      <c r="H62" s="238">
        <v>7046.94</v>
      </c>
      <c r="I62" s="238">
        <f t="shared" si="27"/>
        <v>108170.53</v>
      </c>
      <c r="J62" s="238"/>
      <c r="K62" s="238"/>
      <c r="L62" s="235"/>
      <c r="M62" s="235"/>
      <c r="N62" s="235">
        <f t="shared" si="28"/>
        <v>0</v>
      </c>
      <c r="O62" s="235"/>
      <c r="P62" s="321">
        <f t="shared" si="29"/>
        <v>0</v>
      </c>
      <c r="Q62" s="235">
        <f t="shared" si="30"/>
        <v>0</v>
      </c>
      <c r="R62" s="322">
        <f t="shared" si="31"/>
        <v>0</v>
      </c>
      <c r="S62" s="181"/>
      <c r="T62" s="205"/>
    </row>
    <row r="63" spans="1:21" ht="13.8">
      <c r="A63" s="239">
        <f t="shared" si="32"/>
        <v>44</v>
      </c>
      <c r="B63" s="219" t="s">
        <v>50</v>
      </c>
      <c r="C63" s="218" t="s">
        <v>47</v>
      </c>
      <c r="D63" s="217">
        <v>3139.57</v>
      </c>
      <c r="E63" s="217">
        <v>61.8</v>
      </c>
      <c r="F63" s="216">
        <f t="shared" si="25"/>
        <v>194025.43</v>
      </c>
      <c r="G63" s="320">
        <f t="shared" si="26"/>
        <v>0</v>
      </c>
      <c r="H63" s="238">
        <v>61.8</v>
      </c>
      <c r="I63" s="238">
        <f t="shared" si="27"/>
        <v>194025.43</v>
      </c>
      <c r="J63" s="238"/>
      <c r="K63" s="238"/>
      <c r="L63" s="235"/>
      <c r="M63" s="235"/>
      <c r="N63" s="235">
        <f t="shared" si="28"/>
        <v>0</v>
      </c>
      <c r="O63" s="235"/>
      <c r="P63" s="321">
        <f t="shared" si="29"/>
        <v>0</v>
      </c>
      <c r="Q63" s="235">
        <f t="shared" si="30"/>
        <v>0</v>
      </c>
      <c r="R63" s="322">
        <f t="shared" si="31"/>
        <v>0</v>
      </c>
      <c r="S63" s="181"/>
      <c r="T63" s="205"/>
    </row>
    <row r="64" spans="1:21" ht="13.8">
      <c r="A64" s="239">
        <f t="shared" si="32"/>
        <v>45</v>
      </c>
      <c r="B64" s="219" t="s">
        <v>51</v>
      </c>
      <c r="C64" s="218" t="s">
        <v>58</v>
      </c>
      <c r="D64" s="217">
        <v>403.4</v>
      </c>
      <c r="E64" s="217">
        <v>26.25</v>
      </c>
      <c r="F64" s="216">
        <f t="shared" si="25"/>
        <v>10589.25</v>
      </c>
      <c r="G64" s="320">
        <f t="shared" si="26"/>
        <v>0</v>
      </c>
      <c r="H64" s="238">
        <v>26.25</v>
      </c>
      <c r="I64" s="238">
        <f t="shared" si="27"/>
        <v>10589.25</v>
      </c>
      <c r="J64" s="238"/>
      <c r="K64" s="238"/>
      <c r="L64" s="235"/>
      <c r="M64" s="235"/>
      <c r="N64" s="235">
        <f t="shared" si="28"/>
        <v>0</v>
      </c>
      <c r="O64" s="235"/>
      <c r="P64" s="321">
        <f t="shared" si="29"/>
        <v>0</v>
      </c>
      <c r="Q64" s="235">
        <f t="shared" si="30"/>
        <v>0</v>
      </c>
      <c r="R64" s="322">
        <f t="shared" si="31"/>
        <v>0</v>
      </c>
      <c r="S64" s="181"/>
      <c r="T64" s="205"/>
    </row>
    <row r="65" spans="1:20" ht="13.8">
      <c r="A65" s="239">
        <f t="shared" si="32"/>
        <v>46</v>
      </c>
      <c r="B65" s="219" t="s">
        <v>52</v>
      </c>
      <c r="C65" s="218" t="s">
        <v>18</v>
      </c>
      <c r="D65" s="217">
        <v>45986.77</v>
      </c>
      <c r="E65" s="217">
        <v>1</v>
      </c>
      <c r="F65" s="216">
        <f t="shared" si="25"/>
        <v>45986.77</v>
      </c>
      <c r="G65" s="320">
        <f t="shared" si="26"/>
        <v>0</v>
      </c>
      <c r="H65" s="238">
        <v>1</v>
      </c>
      <c r="I65" s="238">
        <f t="shared" si="27"/>
        <v>45986.77</v>
      </c>
      <c r="J65" s="238"/>
      <c r="K65" s="238"/>
      <c r="L65" s="235"/>
      <c r="M65" s="235"/>
      <c r="N65" s="235">
        <f t="shared" si="28"/>
        <v>0</v>
      </c>
      <c r="O65" s="235"/>
      <c r="P65" s="321">
        <f t="shared" si="29"/>
        <v>0</v>
      </c>
      <c r="Q65" s="235">
        <f t="shared" si="30"/>
        <v>0</v>
      </c>
      <c r="R65" s="322">
        <f t="shared" si="31"/>
        <v>0</v>
      </c>
      <c r="S65" s="181"/>
      <c r="T65" s="205"/>
    </row>
    <row r="66" spans="1:20" ht="13.8">
      <c r="A66" s="239">
        <f t="shared" si="32"/>
        <v>47</v>
      </c>
      <c r="B66" s="219" t="s">
        <v>53</v>
      </c>
      <c r="C66" s="218" t="s">
        <v>47</v>
      </c>
      <c r="D66" s="217">
        <v>825.66</v>
      </c>
      <c r="E66" s="217">
        <v>14.6</v>
      </c>
      <c r="F66" s="216">
        <f t="shared" si="25"/>
        <v>12054.64</v>
      </c>
      <c r="G66" s="320">
        <f t="shared" si="26"/>
        <v>0</v>
      </c>
      <c r="H66" s="238">
        <v>14.6</v>
      </c>
      <c r="I66" s="238">
        <f t="shared" si="27"/>
        <v>12054.64</v>
      </c>
      <c r="J66" s="238"/>
      <c r="K66" s="238"/>
      <c r="L66" s="235"/>
      <c r="M66" s="235"/>
      <c r="N66" s="235">
        <f t="shared" si="28"/>
        <v>0</v>
      </c>
      <c r="O66" s="235"/>
      <c r="P66" s="321">
        <f t="shared" si="29"/>
        <v>0</v>
      </c>
      <c r="Q66" s="235">
        <f t="shared" si="30"/>
        <v>0</v>
      </c>
      <c r="R66" s="322">
        <f t="shared" si="31"/>
        <v>0</v>
      </c>
      <c r="S66" s="181"/>
      <c r="T66" s="205"/>
    </row>
    <row r="67" spans="1:20" ht="13.8">
      <c r="A67" s="239">
        <f t="shared" si="32"/>
        <v>48</v>
      </c>
      <c r="B67" s="219" t="s">
        <v>54</v>
      </c>
      <c r="C67" s="218" t="s">
        <v>47</v>
      </c>
      <c r="D67" s="217">
        <v>83.48</v>
      </c>
      <c r="E67" s="217">
        <v>38.799999999999997</v>
      </c>
      <c r="F67" s="216">
        <f t="shared" si="25"/>
        <v>3239.02</v>
      </c>
      <c r="G67" s="320">
        <f t="shared" si="26"/>
        <v>0</v>
      </c>
      <c r="H67" s="238">
        <v>38.799999999999997</v>
      </c>
      <c r="I67" s="238">
        <f t="shared" si="27"/>
        <v>3239.02</v>
      </c>
      <c r="J67" s="238"/>
      <c r="K67" s="238"/>
      <c r="L67" s="235"/>
      <c r="M67" s="235"/>
      <c r="N67" s="235">
        <f t="shared" si="28"/>
        <v>0</v>
      </c>
      <c r="O67" s="235"/>
      <c r="P67" s="321">
        <f t="shared" si="29"/>
        <v>0</v>
      </c>
      <c r="Q67" s="235">
        <f t="shared" si="30"/>
        <v>0</v>
      </c>
      <c r="R67" s="322">
        <f t="shared" si="31"/>
        <v>0</v>
      </c>
      <c r="S67" s="181"/>
      <c r="T67" s="205"/>
    </row>
    <row r="68" spans="1:20" ht="13.8">
      <c r="A68" s="323">
        <f t="shared" si="32"/>
        <v>49</v>
      </c>
      <c r="B68" s="215" t="s">
        <v>57</v>
      </c>
      <c r="C68" s="214" t="s">
        <v>18</v>
      </c>
      <c r="D68" s="213">
        <v>4553.8599999999997</v>
      </c>
      <c r="E68" s="213">
        <v>1</v>
      </c>
      <c r="F68" s="212">
        <f t="shared" si="25"/>
        <v>4553.8599999999997</v>
      </c>
      <c r="G68" s="324">
        <f t="shared" si="26"/>
        <v>0</v>
      </c>
      <c r="H68" s="325">
        <v>1</v>
      </c>
      <c r="I68" s="325">
        <f t="shared" si="27"/>
        <v>4553.8599999999997</v>
      </c>
      <c r="J68" s="326"/>
      <c r="K68" s="331"/>
      <c r="L68" s="328"/>
      <c r="M68" s="328"/>
      <c r="N68" s="328">
        <f t="shared" si="28"/>
        <v>0</v>
      </c>
      <c r="O68" s="328"/>
      <c r="P68" s="327">
        <f t="shared" si="29"/>
        <v>0</v>
      </c>
      <c r="Q68" s="328">
        <f t="shared" si="30"/>
        <v>0</v>
      </c>
      <c r="R68" s="329">
        <f t="shared" si="31"/>
        <v>0</v>
      </c>
      <c r="S68" s="181"/>
      <c r="T68" s="205"/>
    </row>
    <row r="69" spans="1:20" ht="13.8">
      <c r="A69" s="229"/>
      <c r="B69" s="228" t="s">
        <v>61</v>
      </c>
      <c r="C69" s="227"/>
      <c r="D69" s="226"/>
      <c r="E69" s="226"/>
      <c r="F69" s="225"/>
      <c r="G69" s="226"/>
      <c r="H69" s="225"/>
      <c r="I69" s="225"/>
      <c r="J69" s="224"/>
      <c r="K69" s="223"/>
      <c r="L69" s="221"/>
      <c r="M69" s="221"/>
      <c r="N69" s="221"/>
      <c r="O69" s="221"/>
      <c r="P69" s="222"/>
      <c r="Q69" s="221"/>
      <c r="R69" s="220"/>
      <c r="S69" s="181"/>
      <c r="T69" s="205"/>
    </row>
    <row r="70" spans="1:20" ht="13.8">
      <c r="A70" s="313">
        <v>50</v>
      </c>
      <c r="B70" s="7" t="s">
        <v>62</v>
      </c>
      <c r="C70" s="234" t="s">
        <v>67</v>
      </c>
      <c r="D70" s="233">
        <v>1145.2</v>
      </c>
      <c r="E70" s="233">
        <v>15</v>
      </c>
      <c r="F70" s="232">
        <f>D70*E70</f>
        <v>17178</v>
      </c>
      <c r="G70" s="314">
        <f>+H70-E70</f>
        <v>0</v>
      </c>
      <c r="H70" s="315">
        <v>15</v>
      </c>
      <c r="I70" s="315">
        <f>+H70*D70</f>
        <v>17178</v>
      </c>
      <c r="J70" s="330"/>
      <c r="K70" s="332"/>
      <c r="L70" s="317"/>
      <c r="M70" s="317"/>
      <c r="N70" s="317">
        <f t="shared" ref="N70:N74" si="33">ROUND(M70*D70,2)</f>
        <v>0</v>
      </c>
      <c r="O70" s="317"/>
      <c r="P70" s="318">
        <f>L70+N70</f>
        <v>0</v>
      </c>
      <c r="Q70" s="317">
        <f>IF(ISERROR(N70/I70),"",ROUND(N70/I70*100,2))</f>
        <v>0</v>
      </c>
      <c r="R70" s="319">
        <f>IF(ISERROR(P70/I70),"",ROUND(P70/I70*100,2))</f>
        <v>0</v>
      </c>
      <c r="S70" s="181"/>
      <c r="T70" s="205"/>
    </row>
    <row r="71" spans="1:20" ht="13.8">
      <c r="A71" s="239">
        <f>1+A70</f>
        <v>51</v>
      </c>
      <c r="B71" s="8" t="s">
        <v>63</v>
      </c>
      <c r="C71" s="218" t="s">
        <v>67</v>
      </c>
      <c r="D71" s="217">
        <v>977.64</v>
      </c>
      <c r="E71" s="217">
        <v>33</v>
      </c>
      <c r="F71" s="231">
        <f>D71*E71</f>
        <v>32262.12</v>
      </c>
      <c r="G71" s="320">
        <f>+H71-E71</f>
        <v>0</v>
      </c>
      <c r="H71" s="238">
        <v>33</v>
      </c>
      <c r="I71" s="238">
        <f>+H71*D71</f>
        <v>32262.12</v>
      </c>
      <c r="J71" s="237"/>
      <c r="K71" s="236"/>
      <c r="L71" s="235"/>
      <c r="M71" s="235"/>
      <c r="N71" s="235">
        <f t="shared" si="33"/>
        <v>0</v>
      </c>
      <c r="O71" s="235"/>
      <c r="P71" s="321">
        <f>L71+N71</f>
        <v>0</v>
      </c>
      <c r="Q71" s="235">
        <f>IF(ISERROR(N71/I71),"",ROUND(N71/I71*100,2))</f>
        <v>0</v>
      </c>
      <c r="R71" s="322">
        <f>IF(ISERROR(P71/I71),"",ROUND(P71/I71*100,2))</f>
        <v>0</v>
      </c>
      <c r="S71" s="181"/>
      <c r="T71" s="205"/>
    </row>
    <row r="72" spans="1:20" ht="13.8">
      <c r="A72" s="239">
        <f>1+A71</f>
        <v>52</v>
      </c>
      <c r="B72" s="8" t="s">
        <v>64</v>
      </c>
      <c r="C72" s="218" t="s">
        <v>67</v>
      </c>
      <c r="D72" s="217">
        <v>1497.96</v>
      </c>
      <c r="E72" s="217">
        <v>1</v>
      </c>
      <c r="F72" s="231">
        <f>D72*E72</f>
        <v>1497.96</v>
      </c>
      <c r="G72" s="320">
        <f>+H72-E72</f>
        <v>0</v>
      </c>
      <c r="H72" s="238">
        <v>1</v>
      </c>
      <c r="I72" s="238">
        <f>+H72*D72</f>
        <v>1497.96</v>
      </c>
      <c r="J72" s="237"/>
      <c r="K72" s="236"/>
      <c r="L72" s="235"/>
      <c r="M72" s="235"/>
      <c r="N72" s="235">
        <f t="shared" si="33"/>
        <v>0</v>
      </c>
      <c r="O72" s="235"/>
      <c r="P72" s="321">
        <f>L72+N72</f>
        <v>0</v>
      </c>
      <c r="Q72" s="235">
        <f>IF(ISERROR(N72/I72),"",ROUND(N72/I72*100,2))</f>
        <v>0</v>
      </c>
      <c r="R72" s="322">
        <f>IF(ISERROR(P72/I72),"",ROUND(P72/I72*100,2))</f>
        <v>0</v>
      </c>
      <c r="S72" s="181"/>
      <c r="T72" s="205"/>
    </row>
    <row r="73" spans="1:20" ht="13.8">
      <c r="A73" s="239">
        <f>1+A72</f>
        <v>53</v>
      </c>
      <c r="B73" s="8" t="s">
        <v>65</v>
      </c>
      <c r="C73" s="218" t="s">
        <v>67</v>
      </c>
      <c r="D73" s="217">
        <v>276.64</v>
      </c>
      <c r="E73" s="217">
        <v>26</v>
      </c>
      <c r="F73" s="231">
        <f>D73*E73</f>
        <v>7192.64</v>
      </c>
      <c r="G73" s="320">
        <f>+H73-E73</f>
        <v>0</v>
      </c>
      <c r="H73" s="238">
        <v>26</v>
      </c>
      <c r="I73" s="238">
        <f>+H73*D73</f>
        <v>7192.64</v>
      </c>
      <c r="J73" s="237"/>
      <c r="K73" s="236"/>
      <c r="L73" s="235"/>
      <c r="M73" s="235"/>
      <c r="N73" s="235">
        <f t="shared" si="33"/>
        <v>0</v>
      </c>
      <c r="O73" s="235"/>
      <c r="P73" s="321">
        <f>L73+N73</f>
        <v>0</v>
      </c>
      <c r="Q73" s="235">
        <f>IF(ISERROR(N73/I73),"",ROUND(N73/I73*100,2))</f>
        <v>0</v>
      </c>
      <c r="R73" s="322">
        <f>IF(ISERROR(P73/I73),"",ROUND(P73/I73*100,2))</f>
        <v>0</v>
      </c>
      <c r="S73" s="181"/>
      <c r="T73" s="205"/>
    </row>
    <row r="74" spans="1:20" ht="13.8">
      <c r="A74" s="323">
        <f>1+A73</f>
        <v>54</v>
      </c>
      <c r="B74" s="9" t="s">
        <v>66</v>
      </c>
      <c r="C74" s="214" t="s">
        <v>67</v>
      </c>
      <c r="D74" s="213">
        <v>235.45</v>
      </c>
      <c r="E74" s="213">
        <v>98</v>
      </c>
      <c r="F74" s="230">
        <f>D74*E74</f>
        <v>23074.1</v>
      </c>
      <c r="G74" s="324">
        <f>+H74-E74</f>
        <v>0</v>
      </c>
      <c r="H74" s="325">
        <v>98</v>
      </c>
      <c r="I74" s="325">
        <f>+H74*D74</f>
        <v>23074.1</v>
      </c>
      <c r="J74" s="326"/>
      <c r="K74" s="331"/>
      <c r="L74" s="328"/>
      <c r="M74" s="328"/>
      <c r="N74" s="328">
        <f t="shared" si="33"/>
        <v>0</v>
      </c>
      <c r="O74" s="328"/>
      <c r="P74" s="327">
        <f>L74+N74</f>
        <v>0</v>
      </c>
      <c r="Q74" s="328">
        <f>IF(ISERROR(N74/I74),"",ROUND(N74/I74*100,2))</f>
        <v>0</v>
      </c>
      <c r="R74" s="329">
        <f>IF(ISERROR(P74/I74),"",ROUND(P74/I74*100,2))</f>
        <v>0</v>
      </c>
      <c r="S74" s="181"/>
      <c r="T74" s="205"/>
    </row>
    <row r="75" spans="1:20" ht="13.8">
      <c r="A75" s="229"/>
      <c r="B75" s="228" t="s">
        <v>68</v>
      </c>
      <c r="C75" s="227"/>
      <c r="D75" s="226"/>
      <c r="E75" s="226"/>
      <c r="F75" s="225"/>
      <c r="G75" s="226"/>
      <c r="H75" s="225"/>
      <c r="I75" s="225"/>
      <c r="J75" s="224"/>
      <c r="K75" s="223"/>
      <c r="L75" s="221"/>
      <c r="M75" s="221"/>
      <c r="N75" s="221"/>
      <c r="O75" s="221"/>
      <c r="P75" s="222"/>
      <c r="Q75" s="221"/>
      <c r="R75" s="220"/>
      <c r="S75" s="181"/>
      <c r="T75" s="205"/>
    </row>
    <row r="76" spans="1:20" ht="13.8">
      <c r="A76" s="313">
        <v>65</v>
      </c>
      <c r="B76" s="241" t="s">
        <v>69</v>
      </c>
      <c r="C76" s="234" t="s">
        <v>75</v>
      </c>
      <c r="D76" s="233">
        <v>412.06</v>
      </c>
      <c r="E76" s="233">
        <v>10</v>
      </c>
      <c r="F76" s="240">
        <f t="shared" ref="F76:F81" si="34">D76*E76</f>
        <v>4120.6000000000004</v>
      </c>
      <c r="G76" s="314">
        <f t="shared" ref="G76:G81" si="35">+H76-E76</f>
        <v>0</v>
      </c>
      <c r="H76" s="315">
        <v>10</v>
      </c>
      <c r="I76" s="315">
        <f t="shared" ref="I76:I81" si="36">+H76*D76</f>
        <v>4120.6000000000004</v>
      </c>
      <c r="J76" s="330"/>
      <c r="K76" s="332"/>
      <c r="L76" s="317"/>
      <c r="M76" s="317"/>
      <c r="N76" s="317">
        <f t="shared" ref="N76:N81" si="37">ROUND(M76*D76,2)</f>
        <v>0</v>
      </c>
      <c r="O76" s="317"/>
      <c r="P76" s="318">
        <f t="shared" ref="P76:P81" si="38">L76+N76</f>
        <v>0</v>
      </c>
      <c r="Q76" s="317">
        <f t="shared" ref="Q76:Q81" si="39">IF(ISERROR(N76/I76),"",ROUND(N76/I76*100,2))</f>
        <v>0</v>
      </c>
      <c r="R76" s="319">
        <f t="shared" ref="R76:R82" si="40">IF(ISERROR(P76/I76),"",ROUND(P76/I76*100,2))</f>
        <v>0</v>
      </c>
      <c r="S76" s="181"/>
      <c r="T76" s="205"/>
    </row>
    <row r="77" spans="1:20" ht="13.8">
      <c r="A77" s="239">
        <v>69</v>
      </c>
      <c r="B77" s="219" t="s">
        <v>70</v>
      </c>
      <c r="C77" s="218" t="s">
        <v>10</v>
      </c>
      <c r="D77" s="217">
        <v>337.66</v>
      </c>
      <c r="E77" s="217">
        <v>460.72</v>
      </c>
      <c r="F77" s="216">
        <f t="shared" si="34"/>
        <v>155566.72</v>
      </c>
      <c r="G77" s="320">
        <f t="shared" si="35"/>
        <v>189.38</v>
      </c>
      <c r="H77" s="238">
        <v>650.1</v>
      </c>
      <c r="I77" s="238">
        <f t="shared" si="36"/>
        <v>219512.77</v>
      </c>
      <c r="J77" s="237"/>
      <c r="K77" s="238"/>
      <c r="L77" s="235"/>
      <c r="M77" s="235"/>
      <c r="N77" s="235">
        <f t="shared" si="37"/>
        <v>0</v>
      </c>
      <c r="O77" s="235" t="str">
        <f>IF(M77+K77=0,"",M77+K77)</f>
        <v/>
      </c>
      <c r="P77" s="321">
        <f t="shared" si="38"/>
        <v>0</v>
      </c>
      <c r="Q77" s="235">
        <f t="shared" si="39"/>
        <v>0</v>
      </c>
      <c r="R77" s="322">
        <f t="shared" si="40"/>
        <v>0</v>
      </c>
      <c r="S77" s="181"/>
      <c r="T77" s="205"/>
    </row>
    <row r="78" spans="1:20" ht="13.8">
      <c r="A78" s="239">
        <f>1+A77</f>
        <v>70</v>
      </c>
      <c r="B78" s="219" t="s">
        <v>71</v>
      </c>
      <c r="C78" s="218" t="s">
        <v>18</v>
      </c>
      <c r="D78" s="217">
        <v>11160.89</v>
      </c>
      <c r="E78" s="217">
        <v>0.2</v>
      </c>
      <c r="F78" s="216">
        <f t="shared" si="34"/>
        <v>2232.1799999999998</v>
      </c>
      <c r="G78" s="320">
        <f t="shared" si="35"/>
        <v>0</v>
      </c>
      <c r="H78" s="238">
        <v>0.2</v>
      </c>
      <c r="I78" s="238">
        <f t="shared" si="36"/>
        <v>2232.1799999999998</v>
      </c>
      <c r="J78" s="237"/>
      <c r="K78" s="236"/>
      <c r="L78" s="235"/>
      <c r="M78" s="235"/>
      <c r="N78" s="235">
        <f t="shared" si="37"/>
        <v>0</v>
      </c>
      <c r="O78" s="235"/>
      <c r="P78" s="321">
        <f t="shared" si="38"/>
        <v>0</v>
      </c>
      <c r="Q78" s="235">
        <f t="shared" si="39"/>
        <v>0</v>
      </c>
      <c r="R78" s="322">
        <f t="shared" si="40"/>
        <v>0</v>
      </c>
      <c r="S78" s="181"/>
      <c r="T78" s="205"/>
    </row>
    <row r="79" spans="1:20" ht="13.8">
      <c r="A79" s="239">
        <f>1+A78</f>
        <v>71</v>
      </c>
      <c r="B79" s="219" t="s">
        <v>72</v>
      </c>
      <c r="C79" s="218" t="s">
        <v>25</v>
      </c>
      <c r="D79" s="217">
        <v>3424.36</v>
      </c>
      <c r="E79" s="217">
        <v>5.57</v>
      </c>
      <c r="F79" s="216">
        <f t="shared" si="34"/>
        <v>19073.689999999999</v>
      </c>
      <c r="G79" s="320">
        <f t="shared" si="35"/>
        <v>0</v>
      </c>
      <c r="H79" s="238">
        <v>5.57</v>
      </c>
      <c r="I79" s="238">
        <f t="shared" si="36"/>
        <v>19073.689999999999</v>
      </c>
      <c r="J79" s="237"/>
      <c r="K79" s="236"/>
      <c r="L79" s="235"/>
      <c r="M79" s="235"/>
      <c r="N79" s="235">
        <f t="shared" si="37"/>
        <v>0</v>
      </c>
      <c r="O79" s="235"/>
      <c r="P79" s="321">
        <f t="shared" si="38"/>
        <v>0</v>
      </c>
      <c r="Q79" s="235">
        <f t="shared" si="39"/>
        <v>0</v>
      </c>
      <c r="R79" s="322">
        <f t="shared" si="40"/>
        <v>0</v>
      </c>
      <c r="S79" s="181"/>
      <c r="T79" s="205"/>
    </row>
    <row r="80" spans="1:20" ht="13.8">
      <c r="A80" s="239">
        <f>1+A79</f>
        <v>72</v>
      </c>
      <c r="B80" s="219" t="s">
        <v>73</v>
      </c>
      <c r="C80" s="218" t="s">
        <v>25</v>
      </c>
      <c r="D80" s="217">
        <v>5452.74</v>
      </c>
      <c r="E80" s="217">
        <v>4.78</v>
      </c>
      <c r="F80" s="216">
        <f t="shared" si="34"/>
        <v>26064.1</v>
      </c>
      <c r="G80" s="320">
        <f t="shared" si="35"/>
        <v>0</v>
      </c>
      <c r="H80" s="238">
        <v>4.78</v>
      </c>
      <c r="I80" s="238">
        <f t="shared" si="36"/>
        <v>26064.1</v>
      </c>
      <c r="J80" s="237"/>
      <c r="K80" s="236"/>
      <c r="L80" s="235"/>
      <c r="M80" s="235"/>
      <c r="N80" s="235">
        <f t="shared" si="37"/>
        <v>0</v>
      </c>
      <c r="O80" s="235"/>
      <c r="P80" s="321">
        <f t="shared" si="38"/>
        <v>0</v>
      </c>
      <c r="Q80" s="235">
        <f t="shared" si="39"/>
        <v>0</v>
      </c>
      <c r="R80" s="322">
        <f t="shared" si="40"/>
        <v>0</v>
      </c>
      <c r="S80" s="181"/>
      <c r="T80" s="205"/>
    </row>
    <row r="81" spans="1:21" ht="13.8">
      <c r="A81" s="323">
        <v>74</v>
      </c>
      <c r="B81" s="215" t="s">
        <v>74</v>
      </c>
      <c r="C81" s="214" t="s">
        <v>18</v>
      </c>
      <c r="D81" s="213">
        <v>6376.18</v>
      </c>
      <c r="E81" s="213">
        <v>0.4</v>
      </c>
      <c r="F81" s="212">
        <f t="shared" si="34"/>
        <v>2550.4699999999998</v>
      </c>
      <c r="G81" s="324">
        <f t="shared" si="35"/>
        <v>0</v>
      </c>
      <c r="H81" s="325">
        <v>0.4</v>
      </c>
      <c r="I81" s="325">
        <f t="shared" si="36"/>
        <v>2550.4699999999998</v>
      </c>
      <c r="J81" s="326"/>
      <c r="K81" s="328"/>
      <c r="L81" s="328"/>
      <c r="M81" s="328"/>
      <c r="N81" s="328">
        <f t="shared" si="37"/>
        <v>0</v>
      </c>
      <c r="O81" s="328"/>
      <c r="P81" s="327">
        <f t="shared" si="38"/>
        <v>0</v>
      </c>
      <c r="Q81" s="328">
        <f t="shared" si="39"/>
        <v>0</v>
      </c>
      <c r="R81" s="329">
        <f t="shared" si="40"/>
        <v>0</v>
      </c>
      <c r="S81" s="181"/>
      <c r="T81" s="205"/>
    </row>
    <row r="82" spans="1:21" ht="13.8">
      <c r="A82" s="333"/>
      <c r="B82" s="259"/>
      <c r="C82" s="227"/>
      <c r="D82" s="226"/>
      <c r="E82" s="334"/>
      <c r="F82" s="225"/>
      <c r="G82" s="226"/>
      <c r="H82" s="225"/>
      <c r="I82" s="225"/>
      <c r="J82" s="226"/>
      <c r="K82" s="221"/>
      <c r="L82" s="221"/>
      <c r="M82" s="221"/>
      <c r="N82" s="221"/>
      <c r="O82" s="221"/>
      <c r="P82" s="222"/>
      <c r="Q82" s="221"/>
      <c r="R82" s="335" t="str">
        <f t="shared" si="40"/>
        <v/>
      </c>
    </row>
    <row r="83" spans="1:21">
      <c r="A83" s="771" t="s">
        <v>16</v>
      </c>
      <c r="B83" s="772"/>
      <c r="C83" s="772"/>
      <c r="D83" s="772"/>
      <c r="E83" s="204"/>
      <c r="F83" s="211">
        <f>SUM(F16:F81)</f>
        <v>16903840.539999999</v>
      </c>
      <c r="G83" s="204"/>
      <c r="H83" s="210"/>
      <c r="I83" s="209">
        <f>SUM(I16:I81)</f>
        <v>16903840.539999999</v>
      </c>
      <c r="J83" s="204"/>
      <c r="K83" s="204"/>
      <c r="L83" s="204">
        <f>ROUND(SUM(L16:L82),2)</f>
        <v>0</v>
      </c>
      <c r="M83" s="204"/>
      <c r="N83" s="204">
        <f>SUM(N16:N82)</f>
        <v>0</v>
      </c>
      <c r="O83" s="204" t="str">
        <f>IF(M83+K83=0,"",M83+K83)</f>
        <v/>
      </c>
      <c r="P83" s="204">
        <f>ROUND(SUM(P16:P82),2)</f>
        <v>0</v>
      </c>
      <c r="Q83" s="208">
        <f>+N83/I83*100</f>
        <v>0</v>
      </c>
      <c r="R83" s="208"/>
      <c r="S83" s="207"/>
      <c r="T83" s="206"/>
      <c r="U83" s="205"/>
    </row>
    <row r="84" spans="1:21">
      <c r="A84" s="184"/>
      <c r="B84" s="184"/>
      <c r="C84" s="184"/>
      <c r="D84" s="184"/>
      <c r="E84" s="184"/>
      <c r="F84" s="203"/>
      <c r="G84" s="184"/>
      <c r="H84" s="184"/>
      <c r="I84" s="190"/>
      <c r="J84" s="184"/>
      <c r="K84" s="193"/>
      <c r="L84" s="192"/>
      <c r="M84" s="193"/>
      <c r="N84" s="196"/>
      <c r="O84" s="193"/>
      <c r="P84" s="192"/>
      <c r="Q84" s="184"/>
      <c r="R84" s="202"/>
    </row>
    <row r="85" spans="1:21">
      <c r="A85" s="184"/>
      <c r="B85" s="184"/>
      <c r="C85" s="184"/>
      <c r="D85" s="184"/>
      <c r="E85" s="184"/>
      <c r="F85" s="184"/>
      <c r="G85" s="184"/>
      <c r="H85" s="184"/>
      <c r="I85" s="190"/>
      <c r="J85" s="184"/>
      <c r="K85" s="193"/>
      <c r="L85" s="192"/>
      <c r="M85" s="193"/>
      <c r="N85" s="196"/>
      <c r="O85" s="193"/>
      <c r="P85" s="192"/>
      <c r="Q85" s="201"/>
      <c r="R85" s="184"/>
    </row>
    <row r="86" spans="1:21">
      <c r="A86" s="184"/>
      <c r="B86" s="184"/>
      <c r="C86" s="184"/>
      <c r="D86" s="184"/>
      <c r="E86" s="184"/>
      <c r="F86" s="200"/>
      <c r="G86" s="184"/>
      <c r="H86" s="184"/>
      <c r="I86" s="184"/>
      <c r="J86" s="184"/>
      <c r="K86" s="193"/>
      <c r="L86" s="192"/>
      <c r="M86" s="193"/>
      <c r="N86" s="199"/>
      <c r="O86" s="198"/>
      <c r="P86" s="197"/>
      <c r="Q86" s="184"/>
      <c r="R86" s="184"/>
    </row>
    <row r="87" spans="1:21">
      <c r="A87" s="184"/>
      <c r="B87" s="184"/>
      <c r="C87" s="184"/>
      <c r="D87" s="184"/>
      <c r="E87" s="184"/>
      <c r="F87" s="185"/>
      <c r="G87" s="184"/>
      <c r="H87" s="184"/>
      <c r="I87" s="184"/>
      <c r="J87" s="184"/>
      <c r="K87" s="193"/>
      <c r="L87" s="192"/>
      <c r="M87" s="193"/>
      <c r="N87" s="196"/>
      <c r="O87" s="193"/>
      <c r="P87" s="192"/>
      <c r="Q87" s="184"/>
      <c r="R87" s="184"/>
    </row>
    <row r="88" spans="1:21">
      <c r="A88" s="184"/>
      <c r="B88" s="184"/>
      <c r="C88" s="184"/>
      <c r="D88" s="184"/>
      <c r="E88" s="184"/>
      <c r="F88" s="184"/>
      <c r="G88" s="190"/>
      <c r="H88" s="184"/>
      <c r="I88" s="184"/>
      <c r="J88" s="184"/>
      <c r="K88" s="193"/>
      <c r="L88" s="195"/>
      <c r="M88" s="193"/>
      <c r="N88" s="195"/>
      <c r="O88" s="193"/>
      <c r="P88" s="195"/>
      <c r="Q88" s="194"/>
      <c r="R88" s="193"/>
    </row>
    <row r="89" spans="1:21">
      <c r="A89" s="184"/>
      <c r="B89" s="184"/>
      <c r="C89" s="184"/>
      <c r="D89" s="184"/>
      <c r="E89" s="184"/>
      <c r="F89" s="184"/>
      <c r="G89" s="190"/>
      <c r="H89" s="184"/>
      <c r="I89" s="184"/>
      <c r="J89" s="184"/>
      <c r="K89" s="193"/>
      <c r="L89" s="195"/>
      <c r="M89" s="193"/>
      <c r="N89" s="195"/>
      <c r="O89" s="193"/>
      <c r="P89" s="195"/>
      <c r="Q89" s="194"/>
      <c r="R89" s="193"/>
    </row>
    <row r="90" spans="1:21">
      <c r="A90" s="184"/>
      <c r="B90" s="184"/>
      <c r="C90" s="184"/>
      <c r="D90" s="184"/>
      <c r="E90" s="184"/>
      <c r="F90" s="184"/>
      <c r="G90" s="190"/>
      <c r="H90" s="184"/>
      <c r="I90" s="184"/>
      <c r="J90" s="184"/>
      <c r="K90" s="193"/>
      <c r="L90" s="195"/>
      <c r="M90" s="193"/>
      <c r="N90" s="195"/>
      <c r="O90" s="193"/>
      <c r="P90" s="195"/>
      <c r="Q90" s="194"/>
      <c r="R90" s="193"/>
    </row>
    <row r="91" spans="1:21">
      <c r="A91" s="184"/>
      <c r="B91" s="184"/>
      <c r="C91" s="184"/>
      <c r="D91" s="184"/>
      <c r="E91" s="184"/>
      <c r="F91" s="184"/>
      <c r="G91" s="190"/>
      <c r="H91" s="184"/>
      <c r="I91" s="184"/>
      <c r="J91" s="184"/>
      <c r="K91" s="193"/>
      <c r="L91" s="195"/>
      <c r="M91" s="193"/>
      <c r="N91" s="195"/>
      <c r="O91" s="193"/>
      <c r="P91" s="195"/>
      <c r="Q91" s="194"/>
      <c r="R91" s="193"/>
    </row>
    <row r="92" spans="1:21">
      <c r="A92" s="184"/>
      <c r="B92" s="184"/>
      <c r="C92" s="184"/>
      <c r="D92" s="184"/>
      <c r="E92" s="184"/>
      <c r="F92" s="184"/>
      <c r="G92" s="190"/>
      <c r="H92" s="184"/>
      <c r="I92" s="184"/>
      <c r="J92" s="184"/>
      <c r="K92" s="193"/>
      <c r="L92" s="195"/>
      <c r="M92" s="193"/>
      <c r="N92" s="195"/>
      <c r="O92" s="193"/>
      <c r="P92" s="195"/>
      <c r="Q92" s="194"/>
      <c r="R92" s="193"/>
    </row>
    <row r="93" spans="1:21">
      <c r="A93" s="184"/>
      <c r="B93" s="184"/>
      <c r="C93" s="184"/>
      <c r="D93" s="184"/>
      <c r="E93" s="184"/>
      <c r="F93" s="184"/>
      <c r="G93" s="190"/>
      <c r="H93" s="184"/>
      <c r="I93" s="184"/>
      <c r="J93" s="184"/>
      <c r="K93" s="193"/>
      <c r="L93" s="195"/>
      <c r="M93" s="193"/>
      <c r="N93" s="195"/>
      <c r="O93" s="193"/>
      <c r="P93" s="195"/>
      <c r="Q93" s="194"/>
      <c r="R93" s="193"/>
    </row>
    <row r="94" spans="1:21">
      <c r="A94" s="184"/>
      <c r="B94" s="184"/>
      <c r="C94" s="184"/>
      <c r="D94" s="184"/>
      <c r="E94" s="184"/>
      <c r="F94" s="184"/>
      <c r="G94" s="190"/>
      <c r="H94" s="184"/>
      <c r="I94" s="184"/>
      <c r="J94" s="184"/>
      <c r="K94" s="193"/>
      <c r="L94" s="195"/>
      <c r="M94" s="193"/>
      <c r="N94" s="195"/>
      <c r="O94" s="193"/>
      <c r="P94" s="195"/>
      <c r="Q94" s="194"/>
      <c r="R94" s="193"/>
    </row>
    <row r="95" spans="1:21">
      <c r="A95" s="184"/>
      <c r="B95" s="184"/>
      <c r="C95" s="184"/>
      <c r="D95" s="184"/>
      <c r="E95" s="184"/>
      <c r="F95" s="184"/>
      <c r="G95" s="190"/>
      <c r="H95" s="184"/>
      <c r="I95" s="184"/>
      <c r="J95" s="184"/>
      <c r="K95" s="193"/>
      <c r="L95" s="195"/>
      <c r="M95" s="193"/>
      <c r="N95" s="195"/>
      <c r="O95" s="193"/>
      <c r="P95" s="195"/>
      <c r="Q95" s="194"/>
      <c r="R95" s="193"/>
    </row>
    <row r="96" spans="1:21">
      <c r="A96" s="184"/>
      <c r="B96" s="184"/>
      <c r="C96" s="184"/>
      <c r="D96" s="184"/>
      <c r="E96" s="184"/>
      <c r="F96" s="184"/>
      <c r="G96" s="190"/>
      <c r="H96" s="184"/>
      <c r="I96" s="184"/>
      <c r="J96" s="184"/>
      <c r="K96" s="193"/>
      <c r="L96" s="195"/>
      <c r="M96" s="193"/>
      <c r="N96" s="195"/>
      <c r="O96" s="193"/>
      <c r="P96" s="195"/>
      <c r="Q96" s="194"/>
      <c r="R96" s="193"/>
    </row>
    <row r="97" spans="1:18">
      <c r="A97" s="184"/>
      <c r="B97" s="184"/>
      <c r="C97" s="184"/>
      <c r="D97" s="184"/>
      <c r="E97" s="184"/>
      <c r="F97" s="184"/>
      <c r="G97" s="184"/>
      <c r="H97" s="184"/>
      <c r="I97" s="184"/>
      <c r="J97" s="184"/>
      <c r="K97" s="193"/>
      <c r="L97" s="192"/>
      <c r="M97" s="193"/>
      <c r="N97" s="192"/>
      <c r="O97" s="193"/>
      <c r="P97" s="192"/>
      <c r="Q97" s="190"/>
      <c r="R97" s="184"/>
    </row>
    <row r="98" spans="1:18">
      <c r="A98" s="191"/>
      <c r="B98" s="184"/>
      <c r="C98" s="184"/>
      <c r="D98" s="184"/>
      <c r="E98" s="184"/>
      <c r="F98" s="189"/>
      <c r="G98" s="184"/>
      <c r="H98" s="184"/>
      <c r="I98" s="184"/>
      <c r="J98" s="184"/>
      <c r="K98" s="184"/>
      <c r="L98" s="190"/>
      <c r="M98" s="184"/>
      <c r="N98" s="184"/>
      <c r="O98" s="184"/>
      <c r="P98" s="185"/>
      <c r="Q98" s="184"/>
      <c r="R98" s="184"/>
    </row>
    <row r="99" spans="1:18">
      <c r="A99" s="184"/>
      <c r="B99" s="184"/>
      <c r="C99" s="184"/>
      <c r="D99" s="184"/>
      <c r="E99" s="184"/>
      <c r="F99" s="189"/>
      <c r="G99" s="184"/>
      <c r="H99" s="184"/>
      <c r="I99" s="184"/>
      <c r="J99" s="184"/>
      <c r="K99" s="184"/>
      <c r="L99" s="188"/>
      <c r="M99" s="184"/>
      <c r="N99" s="187"/>
      <c r="O99" s="184"/>
      <c r="P99" s="186"/>
      <c r="Q99" s="185"/>
      <c r="R99" s="184"/>
    </row>
    <row r="100" spans="1:18">
      <c r="A100" s="184"/>
      <c r="B100" s="184"/>
      <c r="C100" s="184"/>
      <c r="D100" s="184"/>
      <c r="E100" s="184"/>
      <c r="F100" s="184"/>
      <c r="G100" s="184"/>
      <c r="H100" s="184"/>
      <c r="I100" s="184"/>
      <c r="J100" s="184"/>
      <c r="K100" s="184"/>
      <c r="L100" s="184"/>
      <c r="M100" s="184"/>
      <c r="N100" s="185"/>
      <c r="O100" s="184"/>
      <c r="P100" s="184"/>
      <c r="Q100" s="184"/>
      <c r="R100" s="184"/>
    </row>
    <row r="101" spans="1:18">
      <c r="A101" s="184"/>
      <c r="B101" s="184"/>
      <c r="C101" s="184"/>
      <c r="D101" s="184"/>
      <c r="E101" s="184"/>
      <c r="F101" s="184"/>
      <c r="G101" s="184"/>
      <c r="H101" s="184"/>
      <c r="I101" s="184"/>
      <c r="J101" s="184"/>
      <c r="K101" s="184"/>
      <c r="L101" s="184"/>
      <c r="M101" s="184"/>
      <c r="N101" s="184"/>
      <c r="O101" s="184"/>
      <c r="P101" s="184"/>
      <c r="Q101" s="184"/>
      <c r="R101" s="184"/>
    </row>
    <row r="103" spans="1:18" ht="24.75" customHeight="1"/>
    <row r="104" spans="1:18">
      <c r="N104" s="183"/>
    </row>
    <row r="105" spans="1:18">
      <c r="F105" s="181"/>
      <c r="N105" s="182"/>
      <c r="O105" s="182"/>
    </row>
    <row r="106" spans="1:18">
      <c r="N106" s="181"/>
    </row>
    <row r="109" spans="1:18">
      <c r="F109" s="180"/>
    </row>
    <row r="110" spans="1:18">
      <c r="F110" s="179"/>
    </row>
    <row r="111" spans="1:18">
      <c r="E111" s="178"/>
    </row>
    <row r="112" spans="1:18">
      <c r="E112" s="177"/>
    </row>
    <row r="113" spans="5:5">
      <c r="E113" s="177"/>
    </row>
  </sheetData>
  <mergeCells count="34">
    <mergeCell ref="J13:J14"/>
    <mergeCell ref="A83:D83"/>
    <mergeCell ref="E13:E14"/>
    <mergeCell ref="F13:F14"/>
    <mergeCell ref="G13:G14"/>
    <mergeCell ref="H13:H14"/>
    <mergeCell ref="D11:R11"/>
    <mergeCell ref="A12:A14"/>
    <mergeCell ref="B12:B14"/>
    <mergeCell ref="C12:F12"/>
    <mergeCell ref="G12:J12"/>
    <mergeCell ref="K12:L12"/>
    <mergeCell ref="M12:N12"/>
    <mergeCell ref="O12:P12"/>
    <mergeCell ref="Q12:R12"/>
    <mergeCell ref="C13:D13"/>
    <mergeCell ref="K13:K14"/>
    <mergeCell ref="M13:M14"/>
    <mergeCell ref="O13:O14"/>
    <mergeCell ref="Q13:Q14"/>
    <mergeCell ref="R13:R14"/>
    <mergeCell ref="I13:I14"/>
    <mergeCell ref="D10:R10"/>
    <mergeCell ref="A1:R1"/>
    <mergeCell ref="A2:R2"/>
    <mergeCell ref="A3:B3"/>
    <mergeCell ref="C3:R3"/>
    <mergeCell ref="A4:B4"/>
    <mergeCell ref="C4:R4"/>
    <mergeCell ref="D5:R5"/>
    <mergeCell ref="D6:R6"/>
    <mergeCell ref="D7:R7"/>
    <mergeCell ref="D8:R8"/>
    <mergeCell ref="D9:R9"/>
  </mergeCells>
  <conditionalFormatting sqref="A15:R81">
    <cfRule type="expression" dxfId="1" priority="1">
      <formula>IF($M15&gt;0,1,0)</formula>
    </cfRule>
  </conditionalFormatting>
  <printOptions horizontalCentered="1"/>
  <pageMargins left="3.937007874015748E-2" right="0" top="0.43307086614173229" bottom="0.19685039370078741" header="0" footer="0"/>
  <pageSetup scale="57" fitToHeight="0" orientation="landscape" horizontalDpi="4294967293" r:id="rId1"/>
  <headerFooter scaleWithDoc="0" alignWithMargins="0"/>
  <rowBreaks count="1" manualBreakCount="1">
    <brk id="68" min="1" max="17" man="1"/>
  </rowBreaks>
  <colBreaks count="1" manualBreakCount="1">
    <brk id="18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>
    <tabColor theme="8" tint="-0.249977111117893"/>
    <pageSetUpPr fitToPage="1"/>
  </sheetPr>
  <dimension ref="A1:AG113"/>
  <sheetViews>
    <sheetView showGridLines="0" view="pageBreakPreview" zoomScale="115" zoomScaleNormal="90" zoomScaleSheetLayoutView="115" zoomScalePageLayoutView="60" workbookViewId="0">
      <selection activeCell="E32" sqref="E32"/>
    </sheetView>
  </sheetViews>
  <sheetFormatPr baseColWidth="10" defaultColWidth="11.44140625" defaultRowHeight="13.2"/>
  <cols>
    <col min="1" max="1" width="5.44140625" style="175" customWidth="1"/>
    <col min="2" max="2" width="53.44140625" style="175" customWidth="1"/>
    <col min="3" max="3" width="6.109375" style="175" customWidth="1"/>
    <col min="4" max="4" width="10.5546875" style="175" customWidth="1"/>
    <col min="5" max="5" width="10.88671875" style="175" customWidth="1"/>
    <col min="6" max="6" width="14.33203125" style="175" customWidth="1"/>
    <col min="7" max="7" width="10" style="175" customWidth="1"/>
    <col min="8" max="8" width="11.109375" style="175" customWidth="1"/>
    <col min="9" max="9" width="13.5546875" style="175" customWidth="1"/>
    <col min="10" max="10" width="8.6640625" style="175" customWidth="1"/>
    <col min="11" max="11" width="10.6640625" style="175" customWidth="1"/>
    <col min="12" max="12" width="13.88671875" style="175" customWidth="1"/>
    <col min="13" max="13" width="11.33203125" style="175" customWidth="1"/>
    <col min="14" max="14" width="15.6640625" style="175" customWidth="1"/>
    <col min="15" max="15" width="12.5546875" style="175" customWidth="1"/>
    <col min="16" max="16" width="13.6640625" style="175" customWidth="1"/>
    <col min="17" max="17" width="10.5546875" style="175" customWidth="1"/>
    <col min="18" max="18" width="10.109375" style="175" customWidth="1"/>
    <col min="19" max="19" width="20" style="175" customWidth="1"/>
    <col min="20" max="20" width="20" style="176" customWidth="1"/>
    <col min="21" max="21" width="20.33203125" style="176" customWidth="1"/>
    <col min="22" max="22" width="16" style="175" customWidth="1"/>
    <col min="23" max="23" width="11.44140625" style="175"/>
    <col min="24" max="24" width="23.44140625" style="175" customWidth="1"/>
    <col min="25" max="25" width="16.88671875" style="175" customWidth="1"/>
    <col min="26" max="16384" width="11.44140625" style="175"/>
  </cols>
  <sheetData>
    <row r="1" spans="1:25" s="276" customFormat="1" ht="23.25" customHeight="1">
      <c r="A1" s="790" t="s">
        <v>239</v>
      </c>
      <c r="B1" s="791"/>
      <c r="C1" s="791"/>
      <c r="D1" s="791"/>
      <c r="E1" s="791"/>
      <c r="F1" s="791"/>
      <c r="G1" s="791"/>
      <c r="H1" s="791"/>
      <c r="I1" s="791"/>
      <c r="J1" s="791"/>
      <c r="K1" s="791"/>
      <c r="L1" s="791"/>
      <c r="M1" s="791"/>
      <c r="N1" s="791"/>
      <c r="O1" s="791"/>
      <c r="P1" s="791"/>
      <c r="Q1" s="791"/>
      <c r="R1" s="792"/>
      <c r="T1" s="277"/>
      <c r="U1" s="277"/>
    </row>
    <row r="2" spans="1:25" s="2" customFormat="1" ht="18.75" customHeight="1">
      <c r="A2" s="793" t="str">
        <f>ANALISIS!A2:F2</f>
        <v>PROYECTO:  MEJORAMIENTO CAMINO ROSARIO DEL INGRE - MACHICOCA - IVOCA (FASE I)</v>
      </c>
      <c r="B2" s="794"/>
      <c r="C2" s="794"/>
      <c r="D2" s="794"/>
      <c r="E2" s="794"/>
      <c r="F2" s="794"/>
      <c r="G2" s="794"/>
      <c r="H2" s="794"/>
      <c r="I2" s="794"/>
      <c r="J2" s="794"/>
      <c r="K2" s="794"/>
      <c r="L2" s="794"/>
      <c r="M2" s="794"/>
      <c r="N2" s="794"/>
      <c r="O2" s="794"/>
      <c r="P2" s="794"/>
      <c r="Q2" s="794"/>
      <c r="R2" s="795"/>
      <c r="T2" s="6"/>
      <c r="U2" s="6"/>
    </row>
    <row r="3" spans="1:25" s="266" customFormat="1" ht="18.75" customHeight="1">
      <c r="A3" s="796" t="s">
        <v>9</v>
      </c>
      <c r="B3" s="719"/>
      <c r="C3" s="797" t="s">
        <v>78</v>
      </c>
      <c r="D3" s="797"/>
      <c r="E3" s="797"/>
      <c r="F3" s="797"/>
      <c r="G3" s="797"/>
      <c r="H3" s="797"/>
      <c r="I3" s="797"/>
      <c r="J3" s="797"/>
      <c r="K3" s="797"/>
      <c r="L3" s="797"/>
      <c r="M3" s="797"/>
      <c r="N3" s="797"/>
      <c r="O3" s="797"/>
      <c r="P3" s="797"/>
      <c r="Q3" s="797"/>
      <c r="R3" s="798"/>
      <c r="T3" s="267"/>
      <c r="U3" s="267"/>
    </row>
    <row r="4" spans="1:25" s="266" customFormat="1" ht="17.25" customHeight="1">
      <c r="A4" s="796" t="s">
        <v>15</v>
      </c>
      <c r="B4" s="719"/>
      <c r="C4" s="799" t="s">
        <v>77</v>
      </c>
      <c r="D4" s="799"/>
      <c r="E4" s="799"/>
      <c r="F4" s="799"/>
      <c r="G4" s="799"/>
      <c r="H4" s="799"/>
      <c r="I4" s="799"/>
      <c r="J4" s="799"/>
      <c r="K4" s="799"/>
      <c r="L4" s="799"/>
      <c r="M4" s="799"/>
      <c r="N4" s="799"/>
      <c r="O4" s="799"/>
      <c r="P4" s="799"/>
      <c r="Q4" s="799"/>
      <c r="R4" s="800"/>
      <c r="T4" s="267"/>
      <c r="U4" s="267"/>
    </row>
    <row r="5" spans="1:25" s="266" customFormat="1" ht="13.8">
      <c r="A5" s="274"/>
      <c r="B5" s="273" t="s">
        <v>11</v>
      </c>
      <c r="C5" s="272"/>
      <c r="D5" s="706">
        <v>43759</v>
      </c>
      <c r="E5" s="706"/>
      <c r="F5" s="706"/>
      <c r="G5" s="706"/>
      <c r="H5" s="706"/>
      <c r="I5" s="706"/>
      <c r="J5" s="706"/>
      <c r="K5" s="706"/>
      <c r="L5" s="706"/>
      <c r="M5" s="706"/>
      <c r="N5" s="706"/>
      <c r="O5" s="706"/>
      <c r="P5" s="706"/>
      <c r="Q5" s="706"/>
      <c r="R5" s="801"/>
      <c r="T5" s="267"/>
      <c r="U5" s="267"/>
    </row>
    <row r="6" spans="1:25" s="266" customFormat="1" ht="13.8">
      <c r="A6" s="270"/>
      <c r="B6" s="269" t="s">
        <v>12</v>
      </c>
      <c r="C6" s="271"/>
      <c r="D6" s="710" t="s">
        <v>85</v>
      </c>
      <c r="E6" s="710"/>
      <c r="F6" s="710"/>
      <c r="G6" s="710"/>
      <c r="H6" s="710"/>
      <c r="I6" s="710"/>
      <c r="J6" s="710"/>
      <c r="K6" s="710"/>
      <c r="L6" s="710"/>
      <c r="M6" s="710"/>
      <c r="N6" s="710"/>
      <c r="O6" s="710"/>
      <c r="P6" s="710"/>
      <c r="Q6" s="710"/>
      <c r="R6" s="789"/>
      <c r="T6" s="267"/>
      <c r="U6" s="267"/>
    </row>
    <row r="7" spans="1:25" s="266" customFormat="1" ht="13.8">
      <c r="A7" s="270"/>
      <c r="B7" s="269" t="s">
        <v>13</v>
      </c>
      <c r="C7" s="271"/>
      <c r="D7" s="708" t="s">
        <v>86</v>
      </c>
      <c r="E7" s="708"/>
      <c r="F7" s="708"/>
      <c r="G7" s="708"/>
      <c r="H7" s="708"/>
      <c r="I7" s="708"/>
      <c r="J7" s="708"/>
      <c r="K7" s="708"/>
      <c r="L7" s="708"/>
      <c r="M7" s="708"/>
      <c r="N7" s="708"/>
      <c r="O7" s="708"/>
      <c r="P7" s="708"/>
      <c r="Q7" s="708"/>
      <c r="R7" s="802"/>
      <c r="T7" s="267"/>
      <c r="U7" s="267"/>
    </row>
    <row r="8" spans="1:25" s="266" customFormat="1" ht="13.8">
      <c r="A8" s="270"/>
      <c r="B8" s="269" t="s">
        <v>14</v>
      </c>
      <c r="C8" s="271"/>
      <c r="D8" s="710">
        <f>600+D5</f>
        <v>44359</v>
      </c>
      <c r="E8" s="710"/>
      <c r="F8" s="710"/>
      <c r="G8" s="710"/>
      <c r="H8" s="710"/>
      <c r="I8" s="710"/>
      <c r="J8" s="710"/>
      <c r="K8" s="710"/>
      <c r="L8" s="710"/>
      <c r="M8" s="710"/>
      <c r="N8" s="710"/>
      <c r="O8" s="710"/>
      <c r="P8" s="710"/>
      <c r="Q8" s="710"/>
      <c r="R8" s="789"/>
      <c r="T8" s="267"/>
      <c r="U8" s="267"/>
    </row>
    <row r="9" spans="1:25" s="266" customFormat="1" ht="13.8">
      <c r="A9" s="270"/>
      <c r="B9" s="269" t="s">
        <v>88</v>
      </c>
      <c r="C9" s="271"/>
      <c r="D9" s="710" t="s">
        <v>87</v>
      </c>
      <c r="E9" s="710"/>
      <c r="F9" s="710"/>
      <c r="G9" s="710"/>
      <c r="H9" s="710"/>
      <c r="I9" s="710"/>
      <c r="J9" s="710"/>
      <c r="K9" s="710"/>
      <c r="L9" s="710"/>
      <c r="M9" s="710"/>
      <c r="N9" s="710"/>
      <c r="O9" s="710"/>
      <c r="P9" s="710"/>
      <c r="Q9" s="710"/>
      <c r="R9" s="789"/>
      <c r="T9" s="267"/>
      <c r="U9" s="267"/>
    </row>
    <row r="10" spans="1:25" s="266" customFormat="1" ht="13.8">
      <c r="A10" s="270"/>
      <c r="B10" s="269" t="s">
        <v>79</v>
      </c>
      <c r="C10" s="128"/>
      <c r="D10" s="710">
        <v>44570</v>
      </c>
      <c r="E10" s="710"/>
      <c r="F10" s="710"/>
      <c r="G10" s="710"/>
      <c r="H10" s="710"/>
      <c r="I10" s="710"/>
      <c r="J10" s="710"/>
      <c r="K10" s="710"/>
      <c r="L10" s="710"/>
      <c r="M10" s="710"/>
      <c r="N10" s="710"/>
      <c r="O10" s="710"/>
      <c r="P10" s="710"/>
      <c r="Q10" s="710"/>
      <c r="R10" s="789"/>
      <c r="T10" s="267"/>
      <c r="U10" s="267"/>
    </row>
    <row r="11" spans="1:25" s="266" customFormat="1" ht="13.8">
      <c r="A11" s="397"/>
      <c r="B11" s="268" t="s">
        <v>196</v>
      </c>
      <c r="C11" s="4"/>
      <c r="D11" s="775">
        <v>0</v>
      </c>
      <c r="E11" s="775"/>
      <c r="F11" s="775"/>
      <c r="G11" s="775"/>
      <c r="H11" s="775"/>
      <c r="I11" s="775"/>
      <c r="J11" s="775"/>
      <c r="K11" s="775"/>
      <c r="L11" s="775"/>
      <c r="M11" s="775"/>
      <c r="N11" s="775"/>
      <c r="O11" s="775"/>
      <c r="P11" s="775"/>
      <c r="Q11" s="775"/>
      <c r="R11" s="776"/>
      <c r="T11" s="267"/>
      <c r="U11" s="267"/>
    </row>
    <row r="12" spans="1:25" s="260" customFormat="1" ht="20.25" customHeight="1">
      <c r="A12" s="777" t="s">
        <v>2</v>
      </c>
      <c r="B12" s="728" t="s">
        <v>0</v>
      </c>
      <c r="C12" s="779" t="s">
        <v>3</v>
      </c>
      <c r="D12" s="779"/>
      <c r="E12" s="779"/>
      <c r="F12" s="779"/>
      <c r="G12" s="780" t="s">
        <v>80</v>
      </c>
      <c r="H12" s="781"/>
      <c r="I12" s="781"/>
      <c r="J12" s="782"/>
      <c r="K12" s="779" t="s">
        <v>195</v>
      </c>
      <c r="L12" s="779"/>
      <c r="M12" s="783" t="s">
        <v>194</v>
      </c>
      <c r="N12" s="784"/>
      <c r="O12" s="779" t="s">
        <v>161</v>
      </c>
      <c r="P12" s="779"/>
      <c r="Q12" s="785" t="s">
        <v>193</v>
      </c>
      <c r="R12" s="786"/>
      <c r="T12" s="261"/>
      <c r="U12" s="261"/>
    </row>
    <row r="13" spans="1:25" s="260" customFormat="1" ht="12.75" customHeight="1">
      <c r="A13" s="777"/>
      <c r="B13" s="728"/>
      <c r="C13" s="779" t="s">
        <v>5</v>
      </c>
      <c r="D13" s="779"/>
      <c r="E13" s="728" t="s">
        <v>1</v>
      </c>
      <c r="F13" s="728" t="s">
        <v>6</v>
      </c>
      <c r="G13" s="773" t="s">
        <v>81</v>
      </c>
      <c r="H13" s="773" t="s">
        <v>82</v>
      </c>
      <c r="I13" s="773" t="s">
        <v>192</v>
      </c>
      <c r="J13" s="729" t="s">
        <v>4</v>
      </c>
      <c r="K13" s="728" t="s">
        <v>1</v>
      </c>
      <c r="L13" s="398" t="s">
        <v>189</v>
      </c>
      <c r="M13" s="728" t="s">
        <v>1</v>
      </c>
      <c r="N13" s="398" t="s">
        <v>189</v>
      </c>
      <c r="O13" s="728" t="s">
        <v>1</v>
      </c>
      <c r="P13" s="398" t="s">
        <v>189</v>
      </c>
      <c r="Q13" s="728" t="s">
        <v>191</v>
      </c>
      <c r="R13" s="787" t="s">
        <v>190</v>
      </c>
      <c r="T13" s="261"/>
      <c r="U13" s="261"/>
    </row>
    <row r="14" spans="1:25" s="260" customFormat="1" ht="33.75" customHeight="1">
      <c r="A14" s="778"/>
      <c r="B14" s="729"/>
      <c r="C14" s="264" t="s">
        <v>7</v>
      </c>
      <c r="D14" s="264" t="s">
        <v>8</v>
      </c>
      <c r="E14" s="729"/>
      <c r="F14" s="729"/>
      <c r="G14" s="774"/>
      <c r="H14" s="774"/>
      <c r="I14" s="774"/>
      <c r="J14" s="770"/>
      <c r="K14" s="729"/>
      <c r="L14" s="264" t="s">
        <v>8</v>
      </c>
      <c r="M14" s="729"/>
      <c r="N14" s="264" t="s">
        <v>8</v>
      </c>
      <c r="O14" s="729"/>
      <c r="P14" s="264" t="s">
        <v>8</v>
      </c>
      <c r="Q14" s="729"/>
      <c r="R14" s="788" t="s">
        <v>188</v>
      </c>
      <c r="S14" s="263"/>
      <c r="T14" s="262"/>
      <c r="U14" s="261"/>
    </row>
    <row r="15" spans="1:25" ht="13.8">
      <c r="A15" s="229"/>
      <c r="B15" s="228" t="s">
        <v>26</v>
      </c>
      <c r="C15" s="227"/>
      <c r="D15" s="259"/>
      <c r="E15" s="259"/>
      <c r="F15" s="258"/>
      <c r="G15" s="226"/>
      <c r="H15" s="226"/>
      <c r="I15" s="226"/>
      <c r="J15" s="224"/>
      <c r="K15" s="258"/>
      <c r="L15" s="221"/>
      <c r="M15" s="221"/>
      <c r="N15" s="221"/>
      <c r="O15" s="221"/>
      <c r="P15" s="221"/>
      <c r="Q15" s="221"/>
      <c r="R15" s="220"/>
    </row>
    <row r="16" spans="1:25" ht="13.8">
      <c r="A16" s="313">
        <v>1</v>
      </c>
      <c r="B16" s="241" t="s">
        <v>17</v>
      </c>
      <c r="C16" s="234" t="s">
        <v>18</v>
      </c>
      <c r="D16" s="233">
        <v>47860.38</v>
      </c>
      <c r="E16" s="233">
        <v>0.5</v>
      </c>
      <c r="F16" s="240">
        <f t="shared" ref="F16:F21" si="0">D16*E16</f>
        <v>23930.19</v>
      </c>
      <c r="G16" s="314">
        <v>0</v>
      </c>
      <c r="H16" s="315">
        <v>0.5</v>
      </c>
      <c r="I16" s="315">
        <f t="shared" ref="I16:I21" si="1">+H16*D16</f>
        <v>23930.19</v>
      </c>
      <c r="J16" s="316">
        <f>H16/F16</f>
        <v>0</v>
      </c>
      <c r="K16" s="317"/>
      <c r="L16" s="318"/>
      <c r="M16" s="317"/>
      <c r="N16" s="318">
        <f t="shared" ref="N16:N21" si="2">ROUND(M16*D16,2)</f>
        <v>0</v>
      </c>
      <c r="O16" s="317" t="str">
        <f t="shared" ref="O16:O34" si="3">IF(M16+K16=0,"",M16+K16)</f>
        <v/>
      </c>
      <c r="P16" s="318">
        <f t="shared" ref="P16:P21" si="4">L16+N16</f>
        <v>0</v>
      </c>
      <c r="Q16" s="317">
        <f t="shared" ref="Q16:Q21" si="5">IF(ISERROR(N16/I16),"",ROUND(N16/I16*100,2))</f>
        <v>0</v>
      </c>
      <c r="R16" s="319">
        <f t="shared" ref="R16:R21" si="6">IF(ISERROR(P16/I16),"",ROUND(P16/I16*100,2))</f>
        <v>0</v>
      </c>
      <c r="S16" s="181"/>
      <c r="T16" s="205"/>
      <c r="W16" s="292"/>
      <c r="X16" s="292"/>
      <c r="Y16" s="294"/>
    </row>
    <row r="17" spans="1:33" ht="13.8">
      <c r="A17" s="239">
        <f>1+A16</f>
        <v>2</v>
      </c>
      <c r="B17" s="219" t="s">
        <v>19</v>
      </c>
      <c r="C17" s="218" t="s">
        <v>20</v>
      </c>
      <c r="D17" s="217">
        <v>4767.6099999999997</v>
      </c>
      <c r="E17" s="217">
        <v>5.57</v>
      </c>
      <c r="F17" s="216">
        <f t="shared" si="0"/>
        <v>26555.59</v>
      </c>
      <c r="G17" s="320">
        <f>+H17-E17</f>
        <v>0</v>
      </c>
      <c r="H17" s="238">
        <v>5.57</v>
      </c>
      <c r="I17" s="238">
        <f t="shared" si="1"/>
        <v>26555.59</v>
      </c>
      <c r="J17" s="237"/>
      <c r="K17" s="320"/>
      <c r="L17" s="321"/>
      <c r="M17" s="235"/>
      <c r="N17" s="321">
        <f t="shared" si="2"/>
        <v>0</v>
      </c>
      <c r="O17" s="235" t="str">
        <f t="shared" si="3"/>
        <v/>
      </c>
      <c r="P17" s="321">
        <f t="shared" si="4"/>
        <v>0</v>
      </c>
      <c r="Q17" s="235">
        <f t="shared" si="5"/>
        <v>0</v>
      </c>
      <c r="R17" s="322">
        <f t="shared" si="6"/>
        <v>0</v>
      </c>
      <c r="S17" s="181"/>
      <c r="T17" s="205"/>
      <c r="W17" s="292"/>
      <c r="X17" s="292"/>
      <c r="Y17" s="294"/>
    </row>
    <row r="18" spans="1:33" s="244" customFormat="1" ht="13.8">
      <c r="A18" s="239">
        <f>1+A17</f>
        <v>3</v>
      </c>
      <c r="B18" s="219" t="s">
        <v>21</v>
      </c>
      <c r="C18" s="218" t="s">
        <v>10</v>
      </c>
      <c r="D18" s="217">
        <v>15.64</v>
      </c>
      <c r="E18" s="217">
        <v>40377.64</v>
      </c>
      <c r="F18" s="216">
        <f t="shared" si="0"/>
        <v>631506.29</v>
      </c>
      <c r="G18" s="320">
        <f>+H18-E18</f>
        <v>57206.19</v>
      </c>
      <c r="H18" s="238">
        <v>97583.83</v>
      </c>
      <c r="I18" s="238">
        <f t="shared" si="1"/>
        <v>1526211.1</v>
      </c>
      <c r="J18" s="237"/>
      <c r="K18" s="235"/>
      <c r="L18" s="321"/>
      <c r="M18" s="235"/>
      <c r="N18" s="321">
        <f t="shared" si="2"/>
        <v>0</v>
      </c>
      <c r="O18" s="235" t="str">
        <f t="shared" si="3"/>
        <v/>
      </c>
      <c r="P18" s="321">
        <f t="shared" si="4"/>
        <v>0</v>
      </c>
      <c r="Q18" s="235">
        <f t="shared" si="5"/>
        <v>0</v>
      </c>
      <c r="R18" s="322">
        <f t="shared" si="6"/>
        <v>0</v>
      </c>
      <c r="S18" s="246"/>
      <c r="T18" s="246"/>
      <c r="U18" s="246"/>
      <c r="V18" s="247"/>
      <c r="W18" s="293"/>
      <c r="X18" s="293"/>
      <c r="Y18" s="294"/>
      <c r="Z18" s="247"/>
      <c r="AA18" s="247"/>
      <c r="AB18" s="247"/>
      <c r="AC18" s="247"/>
      <c r="AD18" s="247"/>
      <c r="AE18" s="247"/>
      <c r="AF18" s="247"/>
      <c r="AG18" s="247"/>
    </row>
    <row r="19" spans="1:33" s="244" customFormat="1" ht="13.8">
      <c r="A19" s="239">
        <f>1+A18</f>
        <v>4</v>
      </c>
      <c r="B19" s="219" t="s">
        <v>22</v>
      </c>
      <c r="C19" s="218" t="s">
        <v>10</v>
      </c>
      <c r="D19" s="217">
        <v>18.52</v>
      </c>
      <c r="E19" s="217">
        <v>10580</v>
      </c>
      <c r="F19" s="216">
        <f t="shared" si="0"/>
        <v>195941.6</v>
      </c>
      <c r="G19" s="320">
        <f>+H19-E19</f>
        <v>17742.57</v>
      </c>
      <c r="H19" s="238">
        <v>28322.57</v>
      </c>
      <c r="I19" s="238">
        <f t="shared" si="1"/>
        <v>524534</v>
      </c>
      <c r="J19" s="237"/>
      <c r="K19" s="350"/>
      <c r="L19" s="351"/>
      <c r="M19" s="350"/>
      <c r="N19" s="351">
        <f t="shared" si="2"/>
        <v>0</v>
      </c>
      <c r="O19" s="350" t="str">
        <f t="shared" si="3"/>
        <v/>
      </c>
      <c r="P19" s="351">
        <f t="shared" si="4"/>
        <v>0</v>
      </c>
      <c r="Q19" s="235">
        <f t="shared" si="5"/>
        <v>0</v>
      </c>
      <c r="R19" s="322">
        <f t="shared" si="6"/>
        <v>0</v>
      </c>
      <c r="S19" s="246"/>
      <c r="T19" s="246"/>
      <c r="U19" s="246"/>
      <c r="V19" s="247"/>
      <c r="W19" s="293"/>
      <c r="X19" s="293"/>
      <c r="Y19" s="294"/>
      <c r="Z19" s="247"/>
      <c r="AA19" s="247"/>
      <c r="AB19" s="247"/>
      <c r="AC19" s="247"/>
      <c r="AD19" s="247"/>
      <c r="AE19" s="247"/>
      <c r="AF19" s="247"/>
      <c r="AG19" s="247"/>
    </row>
    <row r="20" spans="1:33" ht="13.8">
      <c r="A20" s="239">
        <f>1+A19</f>
        <v>5</v>
      </c>
      <c r="B20" s="257" t="s">
        <v>23</v>
      </c>
      <c r="C20" s="218" t="s">
        <v>10</v>
      </c>
      <c r="D20" s="217">
        <v>57.61</v>
      </c>
      <c r="E20" s="217">
        <v>11436.25</v>
      </c>
      <c r="F20" s="216">
        <f t="shared" si="0"/>
        <v>658842.36</v>
      </c>
      <c r="G20" s="320">
        <f>+H20-E20</f>
        <v>-2950.25</v>
      </c>
      <c r="H20" s="238">
        <v>8486</v>
      </c>
      <c r="I20" s="238">
        <f t="shared" si="1"/>
        <v>488878.46</v>
      </c>
      <c r="J20" s="237"/>
      <c r="K20" s="351"/>
      <c r="L20" s="351"/>
      <c r="M20" s="351"/>
      <c r="N20" s="351">
        <f t="shared" si="2"/>
        <v>0</v>
      </c>
      <c r="O20" s="350" t="str">
        <f t="shared" si="3"/>
        <v/>
      </c>
      <c r="P20" s="351">
        <f t="shared" si="4"/>
        <v>0</v>
      </c>
      <c r="Q20" s="235">
        <f t="shared" si="5"/>
        <v>0</v>
      </c>
      <c r="R20" s="322">
        <f t="shared" si="6"/>
        <v>0</v>
      </c>
      <c r="S20" s="181"/>
      <c r="T20" s="205"/>
      <c r="U20" s="205"/>
      <c r="V20" s="181"/>
      <c r="W20" s="292"/>
      <c r="X20" s="292"/>
      <c r="Y20" s="294"/>
      <c r="Z20" s="181"/>
      <c r="AA20" s="181"/>
      <c r="AB20" s="181"/>
      <c r="AC20" s="181"/>
      <c r="AD20" s="181"/>
      <c r="AE20" s="181"/>
      <c r="AF20" s="181"/>
      <c r="AG20" s="181"/>
    </row>
    <row r="21" spans="1:33" ht="13.8">
      <c r="A21" s="323">
        <f>1+A20</f>
        <v>6</v>
      </c>
      <c r="B21" s="256" t="s">
        <v>24</v>
      </c>
      <c r="C21" s="214" t="s">
        <v>25</v>
      </c>
      <c r="D21" s="213">
        <v>4.8600000000000003</v>
      </c>
      <c r="E21" s="213">
        <v>40296</v>
      </c>
      <c r="F21" s="230">
        <f t="shared" si="0"/>
        <v>195838.56</v>
      </c>
      <c r="G21" s="324">
        <f>+H21-E21</f>
        <v>35000</v>
      </c>
      <c r="H21" s="325">
        <v>75296</v>
      </c>
      <c r="I21" s="325">
        <f t="shared" si="1"/>
        <v>365938.56</v>
      </c>
      <c r="J21" s="326"/>
      <c r="K21" s="352"/>
      <c r="L21" s="353"/>
      <c r="M21" s="354"/>
      <c r="N21" s="353">
        <f t="shared" si="2"/>
        <v>0</v>
      </c>
      <c r="O21" s="354" t="str">
        <f t="shared" si="3"/>
        <v/>
      </c>
      <c r="P21" s="353">
        <f t="shared" si="4"/>
        <v>0</v>
      </c>
      <c r="Q21" s="328">
        <f t="shared" si="5"/>
        <v>0</v>
      </c>
      <c r="R21" s="329">
        <f t="shared" si="6"/>
        <v>0</v>
      </c>
      <c r="S21" s="181"/>
      <c r="T21" s="205"/>
      <c r="U21" s="205"/>
      <c r="V21" s="185"/>
      <c r="W21" s="292"/>
      <c r="X21" s="292"/>
      <c r="Y21" s="294"/>
      <c r="Z21" s="181"/>
      <c r="AA21" s="181"/>
      <c r="AB21" s="181"/>
      <c r="AC21" s="181"/>
      <c r="AD21" s="181"/>
      <c r="AE21" s="181"/>
      <c r="AF21" s="181"/>
      <c r="AG21" s="181"/>
    </row>
    <row r="22" spans="1:33" ht="13.8">
      <c r="A22" s="229"/>
      <c r="B22" s="255" t="s">
        <v>27</v>
      </c>
      <c r="C22" s="227"/>
      <c r="D22" s="226"/>
      <c r="E22" s="226"/>
      <c r="F22" s="225"/>
      <c r="G22" s="226"/>
      <c r="H22" s="225"/>
      <c r="I22" s="225"/>
      <c r="J22" s="224"/>
      <c r="K22" s="355"/>
      <c r="L22" s="356"/>
      <c r="M22" s="356"/>
      <c r="N22" s="356"/>
      <c r="O22" s="356" t="str">
        <f t="shared" si="3"/>
        <v/>
      </c>
      <c r="P22" s="355"/>
      <c r="Q22" s="221"/>
      <c r="R22" s="220"/>
      <c r="S22" s="181"/>
      <c r="T22" s="205"/>
      <c r="U22" s="205"/>
      <c r="V22" s="183"/>
      <c r="W22" s="181"/>
      <c r="X22" s="181"/>
      <c r="Y22" s="181"/>
      <c r="Z22" s="181"/>
      <c r="AA22" s="181"/>
      <c r="AB22" s="181"/>
      <c r="AC22" s="181"/>
      <c r="AD22" s="181"/>
      <c r="AE22" s="181"/>
      <c r="AF22" s="181"/>
      <c r="AG22" s="181"/>
    </row>
    <row r="23" spans="1:33" ht="12.75" customHeight="1">
      <c r="A23" s="313">
        <v>7</v>
      </c>
      <c r="B23" s="241" t="s">
        <v>28</v>
      </c>
      <c r="C23" s="234" t="s">
        <v>10</v>
      </c>
      <c r="D23" s="233">
        <v>61.39</v>
      </c>
      <c r="E23" s="233">
        <v>23213.09</v>
      </c>
      <c r="F23" s="240">
        <f>D23*E23</f>
        <v>1425051.6</v>
      </c>
      <c r="G23" s="314">
        <f>+H23-E23</f>
        <v>0</v>
      </c>
      <c r="H23" s="315">
        <v>23213.09</v>
      </c>
      <c r="I23" s="315">
        <f>+H23*D23</f>
        <v>1425051.6</v>
      </c>
      <c r="J23" s="330"/>
      <c r="K23" s="357"/>
      <c r="L23" s="358"/>
      <c r="M23" s="358"/>
      <c r="N23" s="358">
        <f t="shared" ref="N23:N25" si="7">ROUND(M23*D23,2)</f>
        <v>0</v>
      </c>
      <c r="O23" s="358" t="str">
        <f t="shared" si="3"/>
        <v/>
      </c>
      <c r="P23" s="357">
        <f>L23+N23</f>
        <v>0</v>
      </c>
      <c r="Q23" s="317">
        <f>IF(ISERROR(N23/I23),"",ROUND(N23/I23*100,2))</f>
        <v>0</v>
      </c>
      <c r="R23" s="319">
        <f>IF(ISERROR(P23/I23),"",ROUND(P23/I23*100,2))</f>
        <v>0</v>
      </c>
      <c r="S23" s="181"/>
      <c r="T23" s="205"/>
      <c r="U23" s="254"/>
      <c r="V23" s="181"/>
      <c r="W23" s="181"/>
      <c r="X23" s="181"/>
      <c r="Y23" s="181"/>
      <c r="Z23" s="181"/>
      <c r="AA23" s="181"/>
      <c r="AB23" s="181"/>
      <c r="AC23" s="181"/>
      <c r="AD23" s="181"/>
      <c r="AE23" s="181"/>
      <c r="AF23" s="181"/>
      <c r="AG23" s="181"/>
    </row>
    <row r="24" spans="1:33" ht="13.8">
      <c r="A24" s="239">
        <v>8</v>
      </c>
      <c r="B24" s="219" t="s">
        <v>29</v>
      </c>
      <c r="C24" s="218" t="s">
        <v>10</v>
      </c>
      <c r="D24" s="217">
        <v>18.55</v>
      </c>
      <c r="E24" s="217">
        <v>24098.81</v>
      </c>
      <c r="F24" s="216">
        <f>D24*E24</f>
        <v>447032.93</v>
      </c>
      <c r="G24" s="320">
        <f>+H24-E24</f>
        <v>0</v>
      </c>
      <c r="H24" s="238">
        <v>24098.81</v>
      </c>
      <c r="I24" s="238">
        <f>+H24*D24</f>
        <v>447032.93</v>
      </c>
      <c r="J24" s="237"/>
      <c r="K24" s="351"/>
      <c r="L24" s="350"/>
      <c r="M24" s="350"/>
      <c r="N24" s="350">
        <f t="shared" si="7"/>
        <v>0</v>
      </c>
      <c r="O24" s="350" t="str">
        <f t="shared" si="3"/>
        <v/>
      </c>
      <c r="P24" s="351">
        <f>L24+N24</f>
        <v>0</v>
      </c>
      <c r="Q24" s="235">
        <f>IF(ISERROR(N24/I24),"",ROUND(N24/I24*100,2))</f>
        <v>0</v>
      </c>
      <c r="R24" s="322">
        <f>IF(ISERROR(P24/I24),"",ROUND(P24/I24*100,2))</f>
        <v>0</v>
      </c>
      <c r="S24" s="181"/>
      <c r="T24" s="205"/>
      <c r="U24" s="254"/>
      <c r="V24" s="181"/>
      <c r="W24" s="181"/>
      <c r="X24" s="181"/>
      <c r="Y24" s="181"/>
      <c r="Z24" s="181"/>
      <c r="AA24" s="181"/>
      <c r="AB24" s="181"/>
      <c r="AC24" s="181"/>
      <c r="AD24" s="181"/>
      <c r="AE24" s="181"/>
      <c r="AF24" s="181"/>
      <c r="AG24" s="181"/>
    </row>
    <row r="25" spans="1:33" ht="13.8">
      <c r="A25" s="323">
        <v>9</v>
      </c>
      <c r="B25" s="215" t="s">
        <v>30</v>
      </c>
      <c r="C25" s="214" t="s">
        <v>18</v>
      </c>
      <c r="D25" s="213">
        <v>44453.32</v>
      </c>
      <c r="E25" s="213">
        <v>0.4</v>
      </c>
      <c r="F25" s="212">
        <f>D25*E25</f>
        <v>17781.330000000002</v>
      </c>
      <c r="G25" s="324">
        <f>+H25-E25</f>
        <v>0</v>
      </c>
      <c r="H25" s="325">
        <v>0.4</v>
      </c>
      <c r="I25" s="325">
        <f>+H25*D25</f>
        <v>17781.330000000002</v>
      </c>
      <c r="J25" s="326"/>
      <c r="K25" s="353"/>
      <c r="L25" s="354"/>
      <c r="M25" s="353"/>
      <c r="N25" s="354">
        <f t="shared" si="7"/>
        <v>0</v>
      </c>
      <c r="O25" s="353" t="str">
        <f t="shared" si="3"/>
        <v/>
      </c>
      <c r="P25" s="353">
        <f>L25+N25</f>
        <v>0</v>
      </c>
      <c r="Q25" s="328">
        <f>IF(ISERROR(N25/I25),"",ROUND(N25/I25*100,2))</f>
        <v>0</v>
      </c>
      <c r="R25" s="329">
        <f>IF(ISERROR(P25/I25),"",ROUND(P25/I25*100,2))</f>
        <v>0</v>
      </c>
      <c r="S25" s="181"/>
      <c r="T25" s="205"/>
      <c r="U25" s="205"/>
      <c r="V25" s="181"/>
      <c r="W25" s="181"/>
      <c r="X25" s="181"/>
      <c r="Y25" s="181"/>
      <c r="Z25" s="181"/>
      <c r="AA25" s="181"/>
      <c r="AB25" s="181"/>
      <c r="AC25" s="181"/>
      <c r="AD25" s="181"/>
      <c r="AE25" s="181"/>
      <c r="AF25" s="181"/>
      <c r="AG25" s="181"/>
    </row>
    <row r="26" spans="1:33" ht="13.5" customHeight="1">
      <c r="A26" s="229"/>
      <c r="B26" s="228" t="s">
        <v>31</v>
      </c>
      <c r="C26" s="227"/>
      <c r="D26" s="226"/>
      <c r="E26" s="226"/>
      <c r="F26" s="225"/>
      <c r="G26" s="226"/>
      <c r="H26" s="225"/>
      <c r="I26" s="225"/>
      <c r="J26" s="224"/>
      <c r="K26" s="359"/>
      <c r="L26" s="356"/>
      <c r="M26" s="356"/>
      <c r="N26" s="356"/>
      <c r="O26" s="355" t="str">
        <f t="shared" si="3"/>
        <v/>
      </c>
      <c r="P26" s="355"/>
      <c r="Q26" s="221"/>
      <c r="R26" s="220"/>
      <c r="S26" s="181"/>
      <c r="T26" s="205"/>
      <c r="U26" s="205"/>
      <c r="V26" s="181"/>
      <c r="W26" s="181"/>
      <c r="X26" s="181"/>
      <c r="Y26" s="181"/>
      <c r="Z26" s="181"/>
      <c r="AA26" s="181"/>
      <c r="AB26" s="181"/>
      <c r="AC26" s="181"/>
      <c r="AD26" s="181"/>
      <c r="AE26" s="181"/>
      <c r="AF26" s="181"/>
      <c r="AG26" s="181"/>
    </row>
    <row r="27" spans="1:33" ht="13.8">
      <c r="A27" s="313">
        <v>10</v>
      </c>
      <c r="B27" s="241" t="s">
        <v>32</v>
      </c>
      <c r="C27" s="234" t="s">
        <v>18</v>
      </c>
      <c r="D27" s="233">
        <v>3848.37</v>
      </c>
      <c r="E27" s="233">
        <v>0.2</v>
      </c>
      <c r="F27" s="240">
        <f t="shared" ref="F27:F40" si="8">D27*E27</f>
        <v>769.67</v>
      </c>
      <c r="G27" s="314">
        <f t="shared" ref="G27:G40" si="9">+H27-E27</f>
        <v>0</v>
      </c>
      <c r="H27" s="315">
        <v>0.2</v>
      </c>
      <c r="I27" s="315">
        <f t="shared" ref="I27:I40" si="10">+H27*D27</f>
        <v>769.67</v>
      </c>
      <c r="J27" s="330"/>
      <c r="K27" s="360"/>
      <c r="L27" s="358"/>
      <c r="M27" s="358"/>
      <c r="N27" s="358">
        <f t="shared" ref="N27:N40" si="11">ROUND(M27*D27,2)</f>
        <v>0</v>
      </c>
      <c r="O27" s="357" t="str">
        <f t="shared" si="3"/>
        <v/>
      </c>
      <c r="P27" s="357">
        <f t="shared" ref="P27:P40" si="12">L27+N27</f>
        <v>0</v>
      </c>
      <c r="Q27" s="317">
        <f t="shared" ref="Q27:Q40" si="13">IF(ISERROR(N27/I27),"",ROUND(N27/I27*100,2))</f>
        <v>0</v>
      </c>
      <c r="R27" s="319">
        <f t="shared" ref="R27:R40" si="14">IF(ISERROR(P27/I27),"",ROUND(P27/I27*100,2))</f>
        <v>0</v>
      </c>
      <c r="S27" s="205"/>
      <c r="T27" s="205"/>
      <c r="U27" s="205"/>
      <c r="V27" s="181"/>
      <c r="W27" s="181"/>
      <c r="X27" s="181"/>
      <c r="Y27" s="181"/>
      <c r="Z27" s="181"/>
      <c r="AA27" s="181"/>
      <c r="AB27" s="181"/>
      <c r="AC27" s="181"/>
      <c r="AD27" s="181"/>
      <c r="AE27" s="181"/>
      <c r="AF27" s="181"/>
      <c r="AG27" s="181"/>
    </row>
    <row r="28" spans="1:33" s="244" customFormat="1" ht="13.8">
      <c r="A28" s="239">
        <f t="shared" ref="A28:A40" si="15">1+A27</f>
        <v>11</v>
      </c>
      <c r="B28" s="219" t="s">
        <v>33</v>
      </c>
      <c r="C28" s="218" t="s">
        <v>10</v>
      </c>
      <c r="D28" s="217">
        <v>27.03</v>
      </c>
      <c r="E28" s="217">
        <v>7899.85</v>
      </c>
      <c r="F28" s="216">
        <f t="shared" si="8"/>
        <v>213532.95</v>
      </c>
      <c r="G28" s="320">
        <f t="shared" si="9"/>
        <v>0</v>
      </c>
      <c r="H28" s="238">
        <v>7899.85</v>
      </c>
      <c r="I28" s="238">
        <f t="shared" si="10"/>
        <v>213532.95</v>
      </c>
      <c r="J28" s="237"/>
      <c r="K28" s="361"/>
      <c r="L28" s="350"/>
      <c r="M28" s="350"/>
      <c r="N28" s="350">
        <f t="shared" si="11"/>
        <v>0</v>
      </c>
      <c r="O28" s="351" t="str">
        <f t="shared" si="3"/>
        <v/>
      </c>
      <c r="P28" s="351">
        <f t="shared" si="12"/>
        <v>0</v>
      </c>
      <c r="Q28" s="235">
        <f t="shared" si="13"/>
        <v>0</v>
      </c>
      <c r="R28" s="322">
        <f t="shared" si="14"/>
        <v>0</v>
      </c>
      <c r="S28" s="246"/>
      <c r="T28" s="246"/>
      <c r="U28" s="245"/>
      <c r="V28" s="247"/>
    </row>
    <row r="29" spans="1:33" s="244" customFormat="1" ht="15.75" customHeight="1">
      <c r="A29" s="239">
        <f t="shared" si="15"/>
        <v>12</v>
      </c>
      <c r="B29" s="219" t="s">
        <v>34</v>
      </c>
      <c r="C29" s="218" t="s">
        <v>10</v>
      </c>
      <c r="D29" s="217">
        <v>652.63</v>
      </c>
      <c r="E29" s="217">
        <v>1522.75</v>
      </c>
      <c r="F29" s="216">
        <f t="shared" si="8"/>
        <v>993792.33</v>
      </c>
      <c r="G29" s="320">
        <f t="shared" si="9"/>
        <v>3076.2</v>
      </c>
      <c r="H29" s="238">
        <v>4598.95</v>
      </c>
      <c r="I29" s="238">
        <f t="shared" si="10"/>
        <v>3001412.74</v>
      </c>
      <c r="J29" s="237"/>
      <c r="K29" s="361"/>
      <c r="L29" s="350"/>
      <c r="M29" s="350"/>
      <c r="N29" s="350">
        <f t="shared" si="11"/>
        <v>0</v>
      </c>
      <c r="O29" s="351" t="str">
        <f t="shared" si="3"/>
        <v/>
      </c>
      <c r="P29" s="399">
        <f t="shared" si="12"/>
        <v>0</v>
      </c>
      <c r="Q29" s="235">
        <f t="shared" si="13"/>
        <v>0</v>
      </c>
      <c r="R29" s="322">
        <f t="shared" si="14"/>
        <v>0</v>
      </c>
      <c r="S29" s="246"/>
      <c r="T29" s="246"/>
      <c r="U29" s="245"/>
      <c r="V29" s="247"/>
    </row>
    <row r="30" spans="1:33" s="249" customFormat="1" ht="13.8">
      <c r="A30" s="239">
        <f t="shared" si="15"/>
        <v>13</v>
      </c>
      <c r="B30" s="219" t="s">
        <v>35</v>
      </c>
      <c r="C30" s="218" t="s">
        <v>10</v>
      </c>
      <c r="D30" s="217">
        <v>1801.53</v>
      </c>
      <c r="E30" s="217">
        <v>837.96</v>
      </c>
      <c r="F30" s="216">
        <f t="shared" si="8"/>
        <v>1509610.08</v>
      </c>
      <c r="G30" s="320">
        <f t="shared" si="9"/>
        <v>-236.8</v>
      </c>
      <c r="H30" s="238">
        <v>601.16</v>
      </c>
      <c r="I30" s="238">
        <f t="shared" si="10"/>
        <v>1083007.77</v>
      </c>
      <c r="J30" s="237"/>
      <c r="K30" s="361"/>
      <c r="L30" s="350"/>
      <c r="M30" s="350"/>
      <c r="N30" s="350">
        <f t="shared" si="11"/>
        <v>0</v>
      </c>
      <c r="O30" s="351" t="str">
        <f t="shared" si="3"/>
        <v/>
      </c>
      <c r="P30" s="351">
        <f t="shared" si="12"/>
        <v>0</v>
      </c>
      <c r="Q30" s="235">
        <f t="shared" si="13"/>
        <v>0</v>
      </c>
      <c r="R30" s="322">
        <f t="shared" si="14"/>
        <v>0</v>
      </c>
      <c r="S30" s="252"/>
      <c r="T30" s="252"/>
      <c r="U30" s="251"/>
      <c r="V30" s="250"/>
    </row>
    <row r="31" spans="1:33" s="249" customFormat="1" ht="13.8">
      <c r="A31" s="239">
        <f t="shared" si="15"/>
        <v>14</v>
      </c>
      <c r="B31" s="219" t="s">
        <v>36</v>
      </c>
      <c r="C31" s="218" t="s">
        <v>46</v>
      </c>
      <c r="D31" s="217">
        <v>15.35</v>
      </c>
      <c r="E31" s="217">
        <v>108768.82</v>
      </c>
      <c r="F31" s="216">
        <f t="shared" si="8"/>
        <v>1669601.39</v>
      </c>
      <c r="G31" s="320">
        <f t="shared" si="9"/>
        <v>0</v>
      </c>
      <c r="H31" s="238">
        <v>108768.82</v>
      </c>
      <c r="I31" s="238">
        <f t="shared" si="10"/>
        <v>1669601.39</v>
      </c>
      <c r="J31" s="237"/>
      <c r="K31" s="361"/>
      <c r="L31" s="350"/>
      <c r="M31" s="350"/>
      <c r="N31" s="350">
        <f t="shared" si="11"/>
        <v>0</v>
      </c>
      <c r="O31" s="351" t="str">
        <f t="shared" si="3"/>
        <v/>
      </c>
      <c r="P31" s="351">
        <f t="shared" si="12"/>
        <v>0</v>
      </c>
      <c r="Q31" s="235">
        <f t="shared" si="13"/>
        <v>0</v>
      </c>
      <c r="R31" s="322">
        <f t="shared" si="14"/>
        <v>0</v>
      </c>
      <c r="S31" s="252"/>
      <c r="T31" s="252"/>
      <c r="U31" s="251"/>
      <c r="V31" s="250"/>
    </row>
    <row r="32" spans="1:33" s="249" customFormat="1" ht="13.8">
      <c r="A32" s="239">
        <f t="shared" si="15"/>
        <v>15</v>
      </c>
      <c r="B32" s="219" t="s">
        <v>37</v>
      </c>
      <c r="C32" s="218" t="s">
        <v>10</v>
      </c>
      <c r="D32" s="217">
        <v>79.53</v>
      </c>
      <c r="E32" s="217">
        <v>74.010000000000005</v>
      </c>
      <c r="F32" s="216">
        <f t="shared" si="8"/>
        <v>5886.02</v>
      </c>
      <c r="G32" s="320">
        <f t="shared" si="9"/>
        <v>-34.26</v>
      </c>
      <c r="H32" s="238">
        <v>39.75</v>
      </c>
      <c r="I32" s="238">
        <f t="shared" si="10"/>
        <v>3161.32</v>
      </c>
      <c r="J32" s="237"/>
      <c r="K32" s="361"/>
      <c r="L32" s="350"/>
      <c r="M32" s="350"/>
      <c r="N32" s="350">
        <f t="shared" si="11"/>
        <v>0</v>
      </c>
      <c r="O32" s="351" t="str">
        <f t="shared" si="3"/>
        <v/>
      </c>
      <c r="P32" s="351">
        <f t="shared" si="12"/>
        <v>0</v>
      </c>
      <c r="Q32" s="235">
        <f t="shared" si="13"/>
        <v>0</v>
      </c>
      <c r="R32" s="322">
        <f t="shared" si="14"/>
        <v>0</v>
      </c>
      <c r="S32" s="252"/>
      <c r="T32" s="252"/>
      <c r="U32" s="251"/>
      <c r="V32" s="250"/>
    </row>
    <row r="33" spans="1:22" s="249" customFormat="1" ht="13.8">
      <c r="A33" s="239">
        <f t="shared" si="15"/>
        <v>16</v>
      </c>
      <c r="B33" s="219" t="s">
        <v>38</v>
      </c>
      <c r="C33" s="218" t="s">
        <v>10</v>
      </c>
      <c r="D33" s="217">
        <v>59.3</v>
      </c>
      <c r="E33" s="217">
        <v>30077.59</v>
      </c>
      <c r="F33" s="216">
        <f t="shared" si="8"/>
        <v>1783601.09</v>
      </c>
      <c r="G33" s="320">
        <f t="shared" si="9"/>
        <v>-24444.22</v>
      </c>
      <c r="H33" s="238">
        <v>5633.37</v>
      </c>
      <c r="I33" s="238">
        <f t="shared" si="10"/>
        <v>334058.84000000003</v>
      </c>
      <c r="J33" s="237"/>
      <c r="K33" s="361"/>
      <c r="L33" s="350"/>
      <c r="M33" s="350"/>
      <c r="N33" s="350">
        <f t="shared" si="11"/>
        <v>0</v>
      </c>
      <c r="O33" s="351" t="str">
        <f t="shared" si="3"/>
        <v/>
      </c>
      <c r="P33" s="351">
        <f t="shared" si="12"/>
        <v>0</v>
      </c>
      <c r="Q33" s="235">
        <f t="shared" si="13"/>
        <v>0</v>
      </c>
      <c r="R33" s="322">
        <f t="shared" si="14"/>
        <v>0</v>
      </c>
      <c r="S33" s="252"/>
      <c r="T33" s="252"/>
      <c r="U33" s="251"/>
      <c r="V33" s="250"/>
    </row>
    <row r="34" spans="1:22" s="249" customFormat="1" ht="13.8">
      <c r="A34" s="239">
        <f t="shared" si="15"/>
        <v>17</v>
      </c>
      <c r="B34" s="219" t="s">
        <v>39</v>
      </c>
      <c r="C34" s="218" t="s">
        <v>25</v>
      </c>
      <c r="D34" s="217">
        <v>213.4</v>
      </c>
      <c r="E34" s="217">
        <v>384.62</v>
      </c>
      <c r="F34" s="216">
        <f t="shared" si="8"/>
        <v>82077.91</v>
      </c>
      <c r="G34" s="320">
        <f t="shared" si="9"/>
        <v>0</v>
      </c>
      <c r="H34" s="238">
        <v>384.62</v>
      </c>
      <c r="I34" s="238">
        <f t="shared" si="10"/>
        <v>82077.91</v>
      </c>
      <c r="J34" s="237"/>
      <c r="K34" s="320"/>
      <c r="L34" s="235"/>
      <c r="M34" s="235"/>
      <c r="N34" s="235">
        <f t="shared" si="11"/>
        <v>0</v>
      </c>
      <c r="O34" s="321" t="str">
        <f t="shared" si="3"/>
        <v/>
      </c>
      <c r="P34" s="321">
        <f t="shared" si="12"/>
        <v>0</v>
      </c>
      <c r="Q34" s="235">
        <f t="shared" si="13"/>
        <v>0</v>
      </c>
      <c r="R34" s="322">
        <f t="shared" si="14"/>
        <v>0</v>
      </c>
      <c r="S34" s="252"/>
      <c r="T34" s="252"/>
      <c r="U34" s="251"/>
      <c r="V34" s="250"/>
    </row>
    <row r="35" spans="1:22" ht="13.8">
      <c r="A35" s="239">
        <f t="shared" si="15"/>
        <v>18</v>
      </c>
      <c r="B35" s="219" t="s">
        <v>40</v>
      </c>
      <c r="C35" s="218" t="s">
        <v>25</v>
      </c>
      <c r="D35" s="217">
        <v>127.61</v>
      </c>
      <c r="E35" s="217">
        <v>795</v>
      </c>
      <c r="F35" s="216">
        <f t="shared" si="8"/>
        <v>101449.95</v>
      </c>
      <c r="G35" s="320">
        <f t="shared" si="9"/>
        <v>0</v>
      </c>
      <c r="H35" s="238">
        <v>795</v>
      </c>
      <c r="I35" s="238">
        <f t="shared" si="10"/>
        <v>101449.95</v>
      </c>
      <c r="J35" s="237"/>
      <c r="K35" s="236"/>
      <c r="L35" s="235"/>
      <c r="M35" s="235"/>
      <c r="N35" s="235">
        <f t="shared" si="11"/>
        <v>0</v>
      </c>
      <c r="O35" s="235"/>
      <c r="P35" s="321">
        <f t="shared" si="12"/>
        <v>0</v>
      </c>
      <c r="Q35" s="235">
        <f t="shared" si="13"/>
        <v>0</v>
      </c>
      <c r="R35" s="322">
        <f t="shared" si="14"/>
        <v>0</v>
      </c>
      <c r="S35" s="248"/>
      <c r="T35" s="205"/>
      <c r="V35" s="181"/>
    </row>
    <row r="36" spans="1:22" ht="13.8">
      <c r="A36" s="239">
        <f t="shared" si="15"/>
        <v>19</v>
      </c>
      <c r="B36" s="219" t="s">
        <v>41</v>
      </c>
      <c r="C36" s="218" t="s">
        <v>10</v>
      </c>
      <c r="D36" s="217">
        <v>474.36</v>
      </c>
      <c r="E36" s="217">
        <v>1717</v>
      </c>
      <c r="F36" s="216">
        <f t="shared" si="8"/>
        <v>814476.12</v>
      </c>
      <c r="G36" s="320">
        <f t="shared" si="9"/>
        <v>-717</v>
      </c>
      <c r="H36" s="238">
        <v>1000</v>
      </c>
      <c r="I36" s="238">
        <f t="shared" si="10"/>
        <v>474360</v>
      </c>
      <c r="J36" s="237"/>
      <c r="K36" s="238"/>
      <c r="L36" s="235"/>
      <c r="M36" s="235"/>
      <c r="N36" s="235">
        <f t="shared" si="11"/>
        <v>0</v>
      </c>
      <c r="O36" s="235" t="str">
        <f>IF(M36+K36=0,"",M36+K36)</f>
        <v/>
      </c>
      <c r="P36" s="321">
        <f t="shared" si="12"/>
        <v>0</v>
      </c>
      <c r="Q36" s="235">
        <f t="shared" si="13"/>
        <v>0</v>
      </c>
      <c r="R36" s="322">
        <f t="shared" si="14"/>
        <v>0</v>
      </c>
      <c r="S36" s="248"/>
      <c r="T36" s="205"/>
      <c r="V36" s="181"/>
    </row>
    <row r="37" spans="1:22" s="249" customFormat="1" ht="13.8">
      <c r="A37" s="239">
        <f t="shared" si="15"/>
        <v>20</v>
      </c>
      <c r="B37" s="219" t="s">
        <v>42</v>
      </c>
      <c r="C37" s="218" t="s">
        <v>47</v>
      </c>
      <c r="D37" s="217">
        <v>111.72</v>
      </c>
      <c r="E37" s="217">
        <v>18000</v>
      </c>
      <c r="F37" s="216">
        <f t="shared" si="8"/>
        <v>2010960</v>
      </c>
      <c r="G37" s="320">
        <f t="shared" si="9"/>
        <v>-10989.12</v>
      </c>
      <c r="H37" s="345">
        <v>7010.8841000000002</v>
      </c>
      <c r="I37" s="238">
        <f t="shared" si="10"/>
        <v>783255.97</v>
      </c>
      <c r="J37" s="237"/>
      <c r="K37" s="236"/>
      <c r="L37" s="235"/>
      <c r="M37" s="235"/>
      <c r="N37" s="235">
        <f t="shared" si="11"/>
        <v>0</v>
      </c>
      <c r="O37" s="235" t="str">
        <f>IF(M37+K37=0,"",M37+K37)</f>
        <v/>
      </c>
      <c r="P37" s="321">
        <f t="shared" si="12"/>
        <v>0</v>
      </c>
      <c r="Q37" s="235">
        <f t="shared" si="13"/>
        <v>0</v>
      </c>
      <c r="R37" s="322">
        <f t="shared" si="14"/>
        <v>0</v>
      </c>
      <c r="S37" s="253"/>
      <c r="T37" s="252"/>
      <c r="U37" s="251"/>
      <c r="V37" s="250"/>
    </row>
    <row r="38" spans="1:22" s="249" customFormat="1" ht="13.8">
      <c r="A38" s="239">
        <f t="shared" si="15"/>
        <v>21</v>
      </c>
      <c r="B38" s="219" t="s">
        <v>43</v>
      </c>
      <c r="C38" s="218" t="s">
        <v>47</v>
      </c>
      <c r="D38" s="217">
        <v>1596.02</v>
      </c>
      <c r="E38" s="217">
        <v>343.55</v>
      </c>
      <c r="F38" s="216">
        <f t="shared" si="8"/>
        <v>548312.67000000004</v>
      </c>
      <c r="G38" s="320">
        <f t="shared" si="9"/>
        <v>0</v>
      </c>
      <c r="H38" s="238">
        <v>343.55</v>
      </c>
      <c r="I38" s="238">
        <f t="shared" si="10"/>
        <v>548312.67000000004</v>
      </c>
      <c r="J38" s="237"/>
      <c r="K38" s="236"/>
      <c r="L38" s="235"/>
      <c r="M38" s="235"/>
      <c r="N38" s="235">
        <f t="shared" si="11"/>
        <v>0</v>
      </c>
      <c r="O38" s="235" t="str">
        <f>IF(M38+K38=0,"",M38+K38)</f>
        <v/>
      </c>
      <c r="P38" s="321">
        <f t="shared" si="12"/>
        <v>0</v>
      </c>
      <c r="Q38" s="235">
        <f t="shared" si="13"/>
        <v>0</v>
      </c>
      <c r="R38" s="322">
        <f t="shared" si="14"/>
        <v>0</v>
      </c>
      <c r="S38" s="253"/>
      <c r="T38" s="252"/>
      <c r="U38" s="251"/>
      <c r="V38" s="250"/>
    </row>
    <row r="39" spans="1:22" ht="13.8">
      <c r="A39" s="239">
        <f t="shared" si="15"/>
        <v>22</v>
      </c>
      <c r="B39" s="219" t="s">
        <v>44</v>
      </c>
      <c r="C39" s="218" t="s">
        <v>10</v>
      </c>
      <c r="D39" s="217">
        <v>638.48</v>
      </c>
      <c r="E39" s="217">
        <v>70.819999999999993</v>
      </c>
      <c r="F39" s="216">
        <f t="shared" si="8"/>
        <v>45217.15</v>
      </c>
      <c r="G39" s="320">
        <f t="shared" si="9"/>
        <v>0</v>
      </c>
      <c r="H39" s="238">
        <v>70.819999999999993</v>
      </c>
      <c r="I39" s="238">
        <f t="shared" si="10"/>
        <v>45217.15</v>
      </c>
      <c r="J39" s="237"/>
      <c r="K39" s="236"/>
      <c r="L39" s="235"/>
      <c r="M39" s="235"/>
      <c r="N39" s="235">
        <f t="shared" si="11"/>
        <v>0</v>
      </c>
      <c r="O39" s="235"/>
      <c r="P39" s="321">
        <f t="shared" si="12"/>
        <v>0</v>
      </c>
      <c r="Q39" s="235">
        <f t="shared" si="13"/>
        <v>0</v>
      </c>
      <c r="R39" s="322">
        <f t="shared" si="14"/>
        <v>0</v>
      </c>
      <c r="S39" s="248"/>
      <c r="T39" s="205"/>
      <c r="V39" s="181"/>
    </row>
    <row r="40" spans="1:22" ht="13.8">
      <c r="A40" s="323">
        <f t="shared" si="15"/>
        <v>23</v>
      </c>
      <c r="B40" s="215" t="s">
        <v>45</v>
      </c>
      <c r="C40" s="214" t="s">
        <v>47</v>
      </c>
      <c r="D40" s="213">
        <v>44.35</v>
      </c>
      <c r="E40" s="213">
        <v>2726.08</v>
      </c>
      <c r="F40" s="212">
        <f t="shared" si="8"/>
        <v>120901.65</v>
      </c>
      <c r="G40" s="324">
        <f t="shared" si="9"/>
        <v>0</v>
      </c>
      <c r="H40" s="325">
        <v>2726.08</v>
      </c>
      <c r="I40" s="325">
        <f t="shared" si="10"/>
        <v>120901.65</v>
      </c>
      <c r="J40" s="326"/>
      <c r="K40" s="331"/>
      <c r="L40" s="328"/>
      <c r="M40" s="328"/>
      <c r="N40" s="328">
        <f t="shared" si="11"/>
        <v>0</v>
      </c>
      <c r="O40" s="328"/>
      <c r="P40" s="327">
        <f t="shared" si="12"/>
        <v>0</v>
      </c>
      <c r="Q40" s="328">
        <f t="shared" si="13"/>
        <v>0</v>
      </c>
      <c r="R40" s="329">
        <f t="shared" si="14"/>
        <v>0</v>
      </c>
      <c r="S40" s="248"/>
      <c r="T40" s="205"/>
      <c r="V40" s="181"/>
    </row>
    <row r="41" spans="1:22" ht="13.8">
      <c r="A41" s="229"/>
      <c r="B41" s="228" t="s">
        <v>48</v>
      </c>
      <c r="C41" s="227"/>
      <c r="D41" s="226"/>
      <c r="E41" s="226"/>
      <c r="F41" s="225"/>
      <c r="G41" s="226"/>
      <c r="H41" s="225"/>
      <c r="I41" s="225"/>
      <c r="J41" s="224"/>
      <c r="K41" s="223"/>
      <c r="L41" s="221"/>
      <c r="M41" s="221"/>
      <c r="N41" s="221"/>
      <c r="O41" s="221"/>
      <c r="P41" s="222"/>
      <c r="Q41" s="221"/>
      <c r="R41" s="220"/>
      <c r="S41" s="181"/>
      <c r="T41" s="205"/>
      <c r="V41" s="181"/>
    </row>
    <row r="42" spans="1:22" ht="13.8">
      <c r="A42" s="313">
        <v>24</v>
      </c>
      <c r="B42" s="241" t="s">
        <v>17</v>
      </c>
      <c r="C42" s="234" t="s">
        <v>18</v>
      </c>
      <c r="D42" s="233">
        <v>47860.38</v>
      </c>
      <c r="E42" s="233">
        <v>1</v>
      </c>
      <c r="F42" s="240">
        <f t="shared" ref="F42:F55" si="16">D42*E42</f>
        <v>47860.38</v>
      </c>
      <c r="G42" s="314">
        <f t="shared" ref="G42:G55" si="17">+H42-E42</f>
        <v>0</v>
      </c>
      <c r="H42" s="315">
        <v>1</v>
      </c>
      <c r="I42" s="315">
        <f t="shared" ref="I42:I55" si="18">+H42*D42</f>
        <v>47860.38</v>
      </c>
      <c r="J42" s="330"/>
      <c r="K42" s="315"/>
      <c r="L42" s="317"/>
      <c r="M42" s="317"/>
      <c r="N42" s="317">
        <f t="shared" ref="N42:N55" si="19">ROUND(M42*D42,2)</f>
        <v>0</v>
      </c>
      <c r="O42" s="317" t="str">
        <f t="shared" ref="O42:O55" si="20">IF(M42+K42=0,"",M42+K42)</f>
        <v/>
      </c>
      <c r="P42" s="318">
        <f t="shared" ref="P42:P55" si="21">L42+N42</f>
        <v>0</v>
      </c>
      <c r="Q42" s="317">
        <f t="shared" ref="Q42:Q55" si="22">IF(ISERROR(N42/I42),"",ROUND(N42/I42*100,2))</f>
        <v>0</v>
      </c>
      <c r="R42" s="319">
        <f t="shared" ref="R42:R55" si="23">IF(ISERROR(P42/I42),"",ROUND(P42/I42*100,2))</f>
        <v>0</v>
      </c>
      <c r="S42" s="181"/>
      <c r="T42" s="205"/>
    </row>
    <row r="43" spans="1:22" ht="13.8">
      <c r="A43" s="239">
        <f t="shared" ref="A43:A55" si="24">1+A42</f>
        <v>25</v>
      </c>
      <c r="B43" s="219" t="s">
        <v>32</v>
      </c>
      <c r="C43" s="218" t="s">
        <v>18</v>
      </c>
      <c r="D43" s="217">
        <v>3848.37</v>
      </c>
      <c r="E43" s="217">
        <v>1</v>
      </c>
      <c r="F43" s="216">
        <f t="shared" si="16"/>
        <v>3848.37</v>
      </c>
      <c r="G43" s="320">
        <f t="shared" si="17"/>
        <v>0</v>
      </c>
      <c r="H43" s="238">
        <v>1</v>
      </c>
      <c r="I43" s="238">
        <f t="shared" si="18"/>
        <v>3848.37</v>
      </c>
      <c r="J43" s="237"/>
      <c r="K43" s="238"/>
      <c r="L43" s="235"/>
      <c r="M43" s="235"/>
      <c r="N43" s="235">
        <f t="shared" si="19"/>
        <v>0</v>
      </c>
      <c r="O43" s="235" t="str">
        <f t="shared" si="20"/>
        <v/>
      </c>
      <c r="P43" s="321">
        <f t="shared" si="21"/>
        <v>0</v>
      </c>
      <c r="Q43" s="235">
        <f t="shared" si="22"/>
        <v>0</v>
      </c>
      <c r="R43" s="322">
        <f t="shared" si="23"/>
        <v>0</v>
      </c>
      <c r="S43" s="181"/>
      <c r="T43" s="205"/>
    </row>
    <row r="44" spans="1:22" s="244" customFormat="1" ht="13.8">
      <c r="A44" s="239">
        <f t="shared" si="24"/>
        <v>26</v>
      </c>
      <c r="B44" s="219" t="s">
        <v>49</v>
      </c>
      <c r="C44" s="218" t="s">
        <v>10</v>
      </c>
      <c r="D44" s="217">
        <v>27.03</v>
      </c>
      <c r="E44" s="217">
        <v>797</v>
      </c>
      <c r="F44" s="216">
        <f t="shared" si="16"/>
        <v>21542.91</v>
      </c>
      <c r="G44" s="320">
        <f t="shared" si="17"/>
        <v>295.10000000000002</v>
      </c>
      <c r="H44" s="238">
        <v>1092.0999999999999</v>
      </c>
      <c r="I44" s="238">
        <f t="shared" si="18"/>
        <v>29519.46</v>
      </c>
      <c r="J44" s="237"/>
      <c r="K44" s="236"/>
      <c r="L44" s="235"/>
      <c r="M44" s="235"/>
      <c r="N44" s="235">
        <f t="shared" si="19"/>
        <v>0</v>
      </c>
      <c r="O44" s="235" t="str">
        <f t="shared" si="20"/>
        <v/>
      </c>
      <c r="P44" s="321">
        <f t="shared" si="21"/>
        <v>0</v>
      </c>
      <c r="Q44" s="235">
        <f t="shared" si="22"/>
        <v>0</v>
      </c>
      <c r="R44" s="322">
        <f t="shared" si="23"/>
        <v>0</v>
      </c>
      <c r="S44" s="247"/>
      <c r="T44" s="246"/>
      <c r="U44" s="245"/>
    </row>
    <row r="45" spans="1:22" s="244" customFormat="1" ht="13.8">
      <c r="A45" s="239">
        <f t="shared" si="24"/>
        <v>27</v>
      </c>
      <c r="B45" s="219" t="s">
        <v>35</v>
      </c>
      <c r="C45" s="218" t="s">
        <v>10</v>
      </c>
      <c r="D45" s="217">
        <v>1801.53</v>
      </c>
      <c r="E45" s="217">
        <v>486.72</v>
      </c>
      <c r="F45" s="216">
        <f t="shared" si="16"/>
        <v>876840.68</v>
      </c>
      <c r="G45" s="320">
        <f t="shared" si="17"/>
        <v>150.13999999999999</v>
      </c>
      <c r="H45" s="238">
        <v>636.86</v>
      </c>
      <c r="I45" s="238">
        <f t="shared" si="18"/>
        <v>1147322.3999999999</v>
      </c>
      <c r="J45" s="237"/>
      <c r="K45" s="236"/>
      <c r="L45" s="235"/>
      <c r="M45" s="235"/>
      <c r="N45" s="235">
        <f t="shared" si="19"/>
        <v>0</v>
      </c>
      <c r="O45" s="235" t="str">
        <f t="shared" si="20"/>
        <v/>
      </c>
      <c r="P45" s="321">
        <f t="shared" si="21"/>
        <v>0</v>
      </c>
      <c r="Q45" s="235">
        <f t="shared" si="22"/>
        <v>0</v>
      </c>
      <c r="R45" s="322">
        <f t="shared" si="23"/>
        <v>0</v>
      </c>
      <c r="S45" s="247"/>
      <c r="T45" s="246"/>
      <c r="U45" s="245"/>
    </row>
    <row r="46" spans="1:22" s="244" customFormat="1" ht="13.8">
      <c r="A46" s="239">
        <f t="shared" si="24"/>
        <v>28</v>
      </c>
      <c r="B46" s="219" t="s">
        <v>36</v>
      </c>
      <c r="C46" s="218" t="s">
        <v>46</v>
      </c>
      <c r="D46" s="217">
        <v>15.35</v>
      </c>
      <c r="E46" s="217">
        <v>31927.89</v>
      </c>
      <c r="F46" s="216">
        <f t="shared" si="16"/>
        <v>490093.11</v>
      </c>
      <c r="G46" s="320">
        <f t="shared" si="17"/>
        <v>-984.49</v>
      </c>
      <c r="H46" s="238">
        <v>30943.4</v>
      </c>
      <c r="I46" s="238">
        <f t="shared" si="18"/>
        <v>474981.19</v>
      </c>
      <c r="J46" s="237"/>
      <c r="K46" s="238"/>
      <c r="L46" s="235"/>
      <c r="M46" s="235"/>
      <c r="N46" s="235">
        <f t="shared" si="19"/>
        <v>0</v>
      </c>
      <c r="O46" s="235" t="str">
        <f t="shared" si="20"/>
        <v/>
      </c>
      <c r="P46" s="321">
        <f t="shared" si="21"/>
        <v>0</v>
      </c>
      <c r="Q46" s="235">
        <f t="shared" si="22"/>
        <v>0</v>
      </c>
      <c r="R46" s="322">
        <f t="shared" si="23"/>
        <v>0</v>
      </c>
      <c r="S46" s="247"/>
      <c r="T46" s="246"/>
      <c r="U46" s="245"/>
    </row>
    <row r="47" spans="1:22" ht="13.8">
      <c r="A47" s="239">
        <f t="shared" si="24"/>
        <v>29</v>
      </c>
      <c r="B47" s="219" t="s">
        <v>50</v>
      </c>
      <c r="C47" s="218" t="s">
        <v>47</v>
      </c>
      <c r="D47" s="217">
        <v>3943.09</v>
      </c>
      <c r="E47" s="217">
        <v>105</v>
      </c>
      <c r="F47" s="216">
        <f t="shared" si="16"/>
        <v>414024.45</v>
      </c>
      <c r="G47" s="320">
        <f t="shared" si="17"/>
        <v>35</v>
      </c>
      <c r="H47" s="238">
        <v>140</v>
      </c>
      <c r="I47" s="238">
        <f t="shared" si="18"/>
        <v>552032.6</v>
      </c>
      <c r="J47" s="237"/>
      <c r="K47" s="238"/>
      <c r="L47" s="235"/>
      <c r="M47" s="235"/>
      <c r="N47" s="235">
        <f t="shared" si="19"/>
        <v>0</v>
      </c>
      <c r="O47" s="235" t="str">
        <f t="shared" si="20"/>
        <v/>
      </c>
      <c r="P47" s="321">
        <f t="shared" si="21"/>
        <v>0</v>
      </c>
      <c r="Q47" s="235">
        <f t="shared" si="22"/>
        <v>0</v>
      </c>
      <c r="R47" s="322">
        <f t="shared" si="23"/>
        <v>0</v>
      </c>
      <c r="S47" s="181"/>
      <c r="T47" s="205"/>
    </row>
    <row r="48" spans="1:22" ht="13.8">
      <c r="A48" s="239">
        <f t="shared" si="24"/>
        <v>30</v>
      </c>
      <c r="B48" s="219" t="s">
        <v>51</v>
      </c>
      <c r="C48" s="218" t="s">
        <v>58</v>
      </c>
      <c r="D48" s="217">
        <v>403.4</v>
      </c>
      <c r="E48" s="217">
        <v>48</v>
      </c>
      <c r="F48" s="216">
        <f t="shared" si="16"/>
        <v>19363.2</v>
      </c>
      <c r="G48" s="320">
        <f t="shared" si="17"/>
        <v>16</v>
      </c>
      <c r="H48" s="238">
        <v>64</v>
      </c>
      <c r="I48" s="238">
        <f t="shared" si="18"/>
        <v>25817.599999999999</v>
      </c>
      <c r="J48" s="237"/>
      <c r="K48" s="238"/>
      <c r="L48" s="235"/>
      <c r="M48" s="235"/>
      <c r="N48" s="235">
        <f t="shared" si="19"/>
        <v>0</v>
      </c>
      <c r="O48" s="235" t="str">
        <f t="shared" si="20"/>
        <v/>
      </c>
      <c r="P48" s="321">
        <f t="shared" si="21"/>
        <v>0</v>
      </c>
      <c r="Q48" s="235">
        <f t="shared" si="22"/>
        <v>0</v>
      </c>
      <c r="R48" s="322">
        <f t="shared" si="23"/>
        <v>0</v>
      </c>
      <c r="S48" s="181"/>
      <c r="T48" s="205"/>
    </row>
    <row r="49" spans="1:21" ht="13.8">
      <c r="A49" s="239">
        <f t="shared" si="24"/>
        <v>31</v>
      </c>
      <c r="B49" s="219" t="s">
        <v>52</v>
      </c>
      <c r="C49" s="218" t="s">
        <v>18</v>
      </c>
      <c r="D49" s="217">
        <v>45986.77</v>
      </c>
      <c r="E49" s="217">
        <v>0.65</v>
      </c>
      <c r="F49" s="216">
        <f t="shared" si="16"/>
        <v>29891.4</v>
      </c>
      <c r="G49" s="320">
        <f t="shared" si="17"/>
        <v>0.22</v>
      </c>
      <c r="H49" s="238">
        <v>0.87</v>
      </c>
      <c r="I49" s="238">
        <f t="shared" si="18"/>
        <v>40008.49</v>
      </c>
      <c r="J49" s="237"/>
      <c r="K49" s="238"/>
      <c r="L49" s="235"/>
      <c r="M49" s="235"/>
      <c r="N49" s="235">
        <f t="shared" si="19"/>
        <v>0</v>
      </c>
      <c r="O49" s="235" t="str">
        <f t="shared" si="20"/>
        <v/>
      </c>
      <c r="P49" s="321">
        <f t="shared" si="21"/>
        <v>0</v>
      </c>
      <c r="Q49" s="235">
        <f t="shared" si="22"/>
        <v>0</v>
      </c>
      <c r="R49" s="322">
        <f t="shared" si="23"/>
        <v>0</v>
      </c>
      <c r="S49" s="181"/>
      <c r="T49" s="205"/>
    </row>
    <row r="50" spans="1:21" ht="13.8">
      <c r="A50" s="239">
        <f t="shared" si="24"/>
        <v>32</v>
      </c>
      <c r="B50" s="219" t="s">
        <v>53</v>
      </c>
      <c r="C50" s="218" t="s">
        <v>47</v>
      </c>
      <c r="D50" s="217">
        <v>825.66</v>
      </c>
      <c r="E50" s="217">
        <v>18.2</v>
      </c>
      <c r="F50" s="216">
        <f t="shared" si="16"/>
        <v>15027.01</v>
      </c>
      <c r="G50" s="320">
        <f t="shared" si="17"/>
        <v>0</v>
      </c>
      <c r="H50" s="238">
        <v>18.2</v>
      </c>
      <c r="I50" s="238">
        <f t="shared" si="18"/>
        <v>15027.01</v>
      </c>
      <c r="J50" s="237"/>
      <c r="K50" s="238"/>
      <c r="L50" s="235"/>
      <c r="M50" s="235"/>
      <c r="N50" s="235">
        <f t="shared" si="19"/>
        <v>0</v>
      </c>
      <c r="O50" s="235" t="str">
        <f t="shared" si="20"/>
        <v/>
      </c>
      <c r="P50" s="321">
        <f t="shared" si="21"/>
        <v>0</v>
      </c>
      <c r="Q50" s="235">
        <f t="shared" si="22"/>
        <v>0</v>
      </c>
      <c r="R50" s="322">
        <f t="shared" si="23"/>
        <v>0</v>
      </c>
      <c r="S50" s="181"/>
      <c r="T50" s="205"/>
    </row>
    <row r="51" spans="1:21" ht="13.8">
      <c r="A51" s="239">
        <f t="shared" si="24"/>
        <v>33</v>
      </c>
      <c r="B51" s="219" t="s">
        <v>54</v>
      </c>
      <c r="C51" s="218" t="s">
        <v>47</v>
      </c>
      <c r="D51" s="217">
        <v>83.48</v>
      </c>
      <c r="E51" s="217">
        <v>47.3</v>
      </c>
      <c r="F51" s="216">
        <f t="shared" si="16"/>
        <v>3948.6</v>
      </c>
      <c r="G51" s="320">
        <f t="shared" si="17"/>
        <v>0</v>
      </c>
      <c r="H51" s="238">
        <v>47.3</v>
      </c>
      <c r="I51" s="238">
        <f t="shared" si="18"/>
        <v>3948.6</v>
      </c>
      <c r="J51" s="237"/>
      <c r="K51" s="238"/>
      <c r="L51" s="235"/>
      <c r="M51" s="235"/>
      <c r="N51" s="235">
        <f t="shared" si="19"/>
        <v>0</v>
      </c>
      <c r="O51" s="235" t="str">
        <f t="shared" si="20"/>
        <v/>
      </c>
      <c r="P51" s="321">
        <f t="shared" si="21"/>
        <v>0</v>
      </c>
      <c r="Q51" s="235">
        <f t="shared" si="22"/>
        <v>0</v>
      </c>
      <c r="R51" s="322">
        <f t="shared" si="23"/>
        <v>0</v>
      </c>
      <c r="S51" s="181"/>
      <c r="T51" s="205"/>
    </row>
    <row r="52" spans="1:21" ht="13.8">
      <c r="A52" s="239">
        <f t="shared" si="24"/>
        <v>34</v>
      </c>
      <c r="B52" s="219" t="s">
        <v>55</v>
      </c>
      <c r="C52" s="218" t="s">
        <v>10</v>
      </c>
      <c r="D52" s="217">
        <v>150.47999999999999</v>
      </c>
      <c r="E52" s="217">
        <v>106.76</v>
      </c>
      <c r="F52" s="216">
        <f t="shared" si="16"/>
        <v>16065.24</v>
      </c>
      <c r="G52" s="320">
        <f t="shared" si="17"/>
        <v>34.57</v>
      </c>
      <c r="H52" s="238">
        <v>141.33000000000001</v>
      </c>
      <c r="I52" s="238">
        <f t="shared" si="18"/>
        <v>21267.34</v>
      </c>
      <c r="J52" s="237"/>
      <c r="K52" s="238"/>
      <c r="L52" s="235"/>
      <c r="M52" s="235"/>
      <c r="N52" s="235">
        <f t="shared" si="19"/>
        <v>0</v>
      </c>
      <c r="O52" s="235" t="str">
        <f t="shared" si="20"/>
        <v/>
      </c>
      <c r="P52" s="321">
        <f t="shared" si="21"/>
        <v>0</v>
      </c>
      <c r="Q52" s="235">
        <f t="shared" si="22"/>
        <v>0</v>
      </c>
      <c r="R52" s="322">
        <f t="shared" si="23"/>
        <v>0</v>
      </c>
      <c r="S52" s="181"/>
      <c r="T52" s="205"/>
    </row>
    <row r="53" spans="1:21" s="244" customFormat="1" ht="13.8">
      <c r="A53" s="239">
        <f t="shared" si="24"/>
        <v>35</v>
      </c>
      <c r="B53" s="219" t="s">
        <v>44</v>
      </c>
      <c r="C53" s="218" t="s">
        <v>10</v>
      </c>
      <c r="D53" s="217">
        <v>638.48</v>
      </c>
      <c r="E53" s="217">
        <v>20.6</v>
      </c>
      <c r="F53" s="216">
        <f t="shared" si="16"/>
        <v>13152.69</v>
      </c>
      <c r="G53" s="320">
        <f t="shared" si="17"/>
        <v>2.64</v>
      </c>
      <c r="H53" s="238">
        <v>23.24</v>
      </c>
      <c r="I53" s="238">
        <f t="shared" si="18"/>
        <v>14838.28</v>
      </c>
      <c r="J53" s="237"/>
      <c r="K53" s="238"/>
      <c r="L53" s="235"/>
      <c r="M53" s="235"/>
      <c r="N53" s="235">
        <f t="shared" si="19"/>
        <v>0</v>
      </c>
      <c r="O53" s="235" t="str">
        <f t="shared" si="20"/>
        <v/>
      </c>
      <c r="P53" s="321">
        <f t="shared" si="21"/>
        <v>0</v>
      </c>
      <c r="Q53" s="235">
        <f t="shared" si="22"/>
        <v>0</v>
      </c>
      <c r="R53" s="322">
        <f t="shared" si="23"/>
        <v>0</v>
      </c>
      <c r="S53" s="247"/>
      <c r="T53" s="246"/>
      <c r="U53" s="245"/>
    </row>
    <row r="54" spans="1:21" ht="13.8">
      <c r="A54" s="239">
        <f t="shared" si="24"/>
        <v>36</v>
      </c>
      <c r="B54" s="219" t="s">
        <v>56</v>
      </c>
      <c r="C54" s="218" t="s">
        <v>10</v>
      </c>
      <c r="D54" s="217">
        <v>573.79</v>
      </c>
      <c r="E54" s="217">
        <v>476</v>
      </c>
      <c r="F54" s="216">
        <f t="shared" si="16"/>
        <v>273124.03999999998</v>
      </c>
      <c r="G54" s="320">
        <f t="shared" si="17"/>
        <v>-476</v>
      </c>
      <c r="H54" s="238">
        <v>0</v>
      </c>
      <c r="I54" s="238">
        <f t="shared" si="18"/>
        <v>0</v>
      </c>
      <c r="J54" s="237"/>
      <c r="K54" s="238"/>
      <c r="L54" s="235"/>
      <c r="M54" s="235"/>
      <c r="N54" s="235">
        <f t="shared" si="19"/>
        <v>0</v>
      </c>
      <c r="O54" s="235" t="str">
        <f t="shared" si="20"/>
        <v/>
      </c>
      <c r="P54" s="321">
        <f t="shared" si="21"/>
        <v>0</v>
      </c>
      <c r="Q54" s="235" t="str">
        <f t="shared" si="22"/>
        <v/>
      </c>
      <c r="R54" s="322" t="str">
        <f t="shared" si="23"/>
        <v/>
      </c>
      <c r="S54" s="181"/>
      <c r="T54" s="205"/>
    </row>
    <row r="55" spans="1:21" ht="13.8">
      <c r="A55" s="323">
        <f t="shared" si="24"/>
        <v>37</v>
      </c>
      <c r="B55" s="215" t="s">
        <v>57</v>
      </c>
      <c r="C55" s="214" t="s">
        <v>18</v>
      </c>
      <c r="D55" s="213">
        <v>4553.8599999999997</v>
      </c>
      <c r="E55" s="213">
        <v>1</v>
      </c>
      <c r="F55" s="243">
        <f t="shared" si="16"/>
        <v>4553.8599999999997</v>
      </c>
      <c r="G55" s="324">
        <f t="shared" si="17"/>
        <v>0</v>
      </c>
      <c r="H55" s="325">
        <v>1</v>
      </c>
      <c r="I55" s="325">
        <f t="shared" si="18"/>
        <v>4553.8599999999997</v>
      </c>
      <c r="J55" s="326"/>
      <c r="K55" s="325"/>
      <c r="L55" s="328"/>
      <c r="M55" s="328"/>
      <c r="N55" s="328">
        <f t="shared" si="19"/>
        <v>0</v>
      </c>
      <c r="O55" s="328" t="str">
        <f t="shared" si="20"/>
        <v/>
      </c>
      <c r="P55" s="327">
        <f t="shared" si="21"/>
        <v>0</v>
      </c>
      <c r="Q55" s="328">
        <f t="shared" si="22"/>
        <v>0</v>
      </c>
      <c r="R55" s="329">
        <f t="shared" si="23"/>
        <v>0</v>
      </c>
      <c r="S55" s="181"/>
      <c r="T55" s="205"/>
    </row>
    <row r="56" spans="1:21" ht="13.8">
      <c r="A56" s="229"/>
      <c r="B56" s="228" t="s">
        <v>59</v>
      </c>
      <c r="C56" s="227"/>
      <c r="D56" s="242"/>
      <c r="E56" s="242"/>
      <c r="F56" s="225"/>
      <c r="G56" s="226"/>
      <c r="H56" s="225"/>
      <c r="I56" s="225"/>
      <c r="J56" s="224"/>
      <c r="K56" s="223"/>
      <c r="L56" s="221"/>
      <c r="M56" s="221"/>
      <c r="N56" s="221"/>
      <c r="O56" s="221"/>
      <c r="P56" s="222"/>
      <c r="Q56" s="221"/>
      <c r="R56" s="220"/>
      <c r="S56" s="181"/>
      <c r="T56" s="205"/>
    </row>
    <row r="57" spans="1:21" ht="13.8">
      <c r="A57" s="313">
        <v>38</v>
      </c>
      <c r="B57" s="241" t="s">
        <v>17</v>
      </c>
      <c r="C57" s="234" t="s">
        <v>18</v>
      </c>
      <c r="D57" s="233">
        <v>47860.38</v>
      </c>
      <c r="E57" s="233">
        <v>1</v>
      </c>
      <c r="F57" s="240">
        <f t="shared" ref="F57:F68" si="25">D57*E57</f>
        <v>47860.38</v>
      </c>
      <c r="G57" s="314">
        <f t="shared" ref="G57:G68" si="26">+H57-E57</f>
        <v>0</v>
      </c>
      <c r="H57" s="315">
        <v>1</v>
      </c>
      <c r="I57" s="315">
        <f t="shared" ref="I57:I68" si="27">+H57*D57</f>
        <v>47860.38</v>
      </c>
      <c r="J57" s="330"/>
      <c r="K57" s="315"/>
      <c r="L57" s="317"/>
      <c r="M57" s="317"/>
      <c r="N57" s="317">
        <f t="shared" ref="N57:N68" si="28">ROUND(M57*D57,2)</f>
        <v>0</v>
      </c>
      <c r="O57" s="317" t="str">
        <f>IF(M57+K57=0,"",M57+K57)</f>
        <v/>
      </c>
      <c r="P57" s="318">
        <f t="shared" ref="P57:P68" si="29">L57+N57</f>
        <v>0</v>
      </c>
      <c r="Q57" s="317">
        <f t="shared" ref="Q57:Q68" si="30">IF(ISERROR(N57/I57),"",ROUND(N57/I57*100,2))</f>
        <v>0</v>
      </c>
      <c r="R57" s="319">
        <f t="shared" ref="R57:R68" si="31">IF(ISERROR(P57/I57),"",ROUND(P57/I57*100,2))</f>
        <v>0</v>
      </c>
      <c r="S57" s="181"/>
      <c r="T57" s="205"/>
    </row>
    <row r="58" spans="1:21" ht="13.8">
      <c r="A58" s="239">
        <f t="shared" ref="A58:A68" si="32">A57+1</f>
        <v>39</v>
      </c>
      <c r="B58" s="219" t="s">
        <v>32</v>
      </c>
      <c r="C58" s="218" t="s">
        <v>18</v>
      </c>
      <c r="D58" s="217">
        <v>3848.37</v>
      </c>
      <c r="E58" s="217">
        <v>1</v>
      </c>
      <c r="F58" s="216">
        <f t="shared" si="25"/>
        <v>3848.37</v>
      </c>
      <c r="G58" s="320">
        <f t="shared" si="26"/>
        <v>0</v>
      </c>
      <c r="H58" s="238">
        <v>1</v>
      </c>
      <c r="I58" s="238">
        <f t="shared" si="27"/>
        <v>3848.37</v>
      </c>
      <c r="J58" s="238"/>
      <c r="K58" s="238"/>
      <c r="L58" s="235"/>
      <c r="M58" s="235"/>
      <c r="N58" s="235">
        <f t="shared" si="28"/>
        <v>0</v>
      </c>
      <c r="O58" s="235" t="str">
        <f>IF(M58+K58=0,"",M58+K58)</f>
        <v/>
      </c>
      <c r="P58" s="321">
        <f t="shared" si="29"/>
        <v>0</v>
      </c>
      <c r="Q58" s="235">
        <f t="shared" si="30"/>
        <v>0</v>
      </c>
      <c r="R58" s="322">
        <f t="shared" si="31"/>
        <v>0</v>
      </c>
      <c r="S58" s="181"/>
      <c r="T58" s="205"/>
    </row>
    <row r="59" spans="1:21" ht="13.8">
      <c r="A59" s="239">
        <f t="shared" si="32"/>
        <v>40</v>
      </c>
      <c r="B59" s="219" t="s">
        <v>33</v>
      </c>
      <c r="C59" s="218" t="s">
        <v>10</v>
      </c>
      <c r="D59" s="217">
        <v>27.03</v>
      </c>
      <c r="E59" s="217">
        <v>421.23</v>
      </c>
      <c r="F59" s="216">
        <f t="shared" si="25"/>
        <v>11385.85</v>
      </c>
      <c r="G59" s="320">
        <f t="shared" si="26"/>
        <v>0</v>
      </c>
      <c r="H59" s="238">
        <v>421.23</v>
      </c>
      <c r="I59" s="238">
        <f t="shared" si="27"/>
        <v>11385.85</v>
      </c>
      <c r="J59" s="238"/>
      <c r="K59" s="238"/>
      <c r="L59" s="235"/>
      <c r="M59" s="235"/>
      <c r="N59" s="235">
        <f t="shared" si="28"/>
        <v>0</v>
      </c>
      <c r="O59" s="235" t="str">
        <f>IF(M59+K59=0,"",M59+K59)</f>
        <v/>
      </c>
      <c r="P59" s="321">
        <f t="shared" si="29"/>
        <v>0</v>
      </c>
      <c r="Q59" s="235">
        <f t="shared" si="30"/>
        <v>0</v>
      </c>
      <c r="R59" s="322">
        <f t="shared" si="31"/>
        <v>0</v>
      </c>
      <c r="S59" s="181"/>
      <c r="T59" s="205"/>
    </row>
    <row r="60" spans="1:21" ht="13.8">
      <c r="A60" s="239">
        <f t="shared" si="32"/>
        <v>41</v>
      </c>
      <c r="B60" s="219" t="s">
        <v>60</v>
      </c>
      <c r="C60" s="218" t="s">
        <v>10</v>
      </c>
      <c r="D60" s="217">
        <v>651.46</v>
      </c>
      <c r="E60" s="217">
        <v>379.8</v>
      </c>
      <c r="F60" s="216">
        <f t="shared" si="25"/>
        <v>247424.51</v>
      </c>
      <c r="G60" s="320">
        <f t="shared" si="26"/>
        <v>0</v>
      </c>
      <c r="H60" s="238">
        <v>379.8</v>
      </c>
      <c r="I60" s="238">
        <f t="shared" si="27"/>
        <v>247424.51</v>
      </c>
      <c r="J60" s="238"/>
      <c r="K60" s="238"/>
      <c r="L60" s="235"/>
      <c r="M60" s="235"/>
      <c r="N60" s="235">
        <f t="shared" si="28"/>
        <v>0</v>
      </c>
      <c r="O60" s="235"/>
      <c r="P60" s="321">
        <f t="shared" si="29"/>
        <v>0</v>
      </c>
      <c r="Q60" s="235">
        <f t="shared" si="30"/>
        <v>0</v>
      </c>
      <c r="R60" s="322">
        <f t="shared" si="31"/>
        <v>0</v>
      </c>
      <c r="S60" s="181"/>
      <c r="T60" s="205"/>
    </row>
    <row r="61" spans="1:21" ht="13.8">
      <c r="A61" s="239">
        <f t="shared" si="32"/>
        <v>42</v>
      </c>
      <c r="B61" s="3" t="s">
        <v>35</v>
      </c>
      <c r="C61" s="10" t="s">
        <v>10</v>
      </c>
      <c r="D61" s="11">
        <v>1801.53</v>
      </c>
      <c r="E61" s="12">
        <v>95.41</v>
      </c>
      <c r="F61" s="216">
        <f t="shared" si="25"/>
        <v>171883.98</v>
      </c>
      <c r="G61" s="320">
        <f t="shared" si="26"/>
        <v>0</v>
      </c>
      <c r="H61" s="238">
        <v>95.41</v>
      </c>
      <c r="I61" s="238">
        <f t="shared" si="27"/>
        <v>171883.98</v>
      </c>
      <c r="J61" s="238"/>
      <c r="K61" s="238"/>
      <c r="L61" s="235"/>
      <c r="M61" s="235"/>
      <c r="N61" s="235">
        <f t="shared" si="28"/>
        <v>0</v>
      </c>
      <c r="O61" s="235"/>
      <c r="P61" s="321">
        <f t="shared" si="29"/>
        <v>0</v>
      </c>
      <c r="Q61" s="235">
        <f t="shared" si="30"/>
        <v>0</v>
      </c>
      <c r="R61" s="322">
        <f t="shared" si="31"/>
        <v>0</v>
      </c>
      <c r="S61" s="181"/>
      <c r="T61" s="205"/>
    </row>
    <row r="62" spans="1:21" ht="13.8">
      <c r="A62" s="239">
        <f t="shared" si="32"/>
        <v>43</v>
      </c>
      <c r="B62" s="219" t="s">
        <v>36</v>
      </c>
      <c r="C62" s="218" t="s">
        <v>46</v>
      </c>
      <c r="D62" s="217">
        <v>15.35</v>
      </c>
      <c r="E62" s="217">
        <v>7046.94</v>
      </c>
      <c r="F62" s="216">
        <f t="shared" si="25"/>
        <v>108170.53</v>
      </c>
      <c r="G62" s="320">
        <f t="shared" si="26"/>
        <v>0</v>
      </c>
      <c r="H62" s="238">
        <v>7046.94</v>
      </c>
      <c r="I62" s="238">
        <f t="shared" si="27"/>
        <v>108170.53</v>
      </c>
      <c r="J62" s="238"/>
      <c r="K62" s="238"/>
      <c r="L62" s="235"/>
      <c r="M62" s="235"/>
      <c r="N62" s="235">
        <f t="shared" si="28"/>
        <v>0</v>
      </c>
      <c r="O62" s="235"/>
      <c r="P62" s="321">
        <f t="shared" si="29"/>
        <v>0</v>
      </c>
      <c r="Q62" s="235">
        <f t="shared" si="30"/>
        <v>0</v>
      </c>
      <c r="R62" s="322">
        <f t="shared" si="31"/>
        <v>0</v>
      </c>
      <c r="S62" s="181"/>
      <c r="T62" s="205"/>
    </row>
    <row r="63" spans="1:21" ht="13.8">
      <c r="A63" s="239">
        <f t="shared" si="32"/>
        <v>44</v>
      </c>
      <c r="B63" s="219" t="s">
        <v>50</v>
      </c>
      <c r="C63" s="218" t="s">
        <v>47</v>
      </c>
      <c r="D63" s="217">
        <v>3139.57</v>
      </c>
      <c r="E63" s="217">
        <v>61.8</v>
      </c>
      <c r="F63" s="216">
        <f t="shared" si="25"/>
        <v>194025.43</v>
      </c>
      <c r="G63" s="320">
        <f t="shared" si="26"/>
        <v>0</v>
      </c>
      <c r="H63" s="238">
        <v>61.8</v>
      </c>
      <c r="I63" s="238">
        <f t="shared" si="27"/>
        <v>194025.43</v>
      </c>
      <c r="J63" s="238"/>
      <c r="K63" s="238"/>
      <c r="L63" s="235"/>
      <c r="M63" s="235"/>
      <c r="N63" s="235">
        <f t="shared" si="28"/>
        <v>0</v>
      </c>
      <c r="O63" s="235"/>
      <c r="P63" s="321">
        <f t="shared" si="29"/>
        <v>0</v>
      </c>
      <c r="Q63" s="235">
        <f t="shared" si="30"/>
        <v>0</v>
      </c>
      <c r="R63" s="322">
        <f t="shared" si="31"/>
        <v>0</v>
      </c>
      <c r="S63" s="181"/>
      <c r="T63" s="205"/>
    </row>
    <row r="64" spans="1:21" ht="13.8">
      <c r="A64" s="239">
        <f t="shared" si="32"/>
        <v>45</v>
      </c>
      <c r="B64" s="219" t="s">
        <v>51</v>
      </c>
      <c r="C64" s="218" t="s">
        <v>58</v>
      </c>
      <c r="D64" s="217">
        <v>403.4</v>
      </c>
      <c r="E64" s="217">
        <v>26.25</v>
      </c>
      <c r="F64" s="216">
        <f t="shared" si="25"/>
        <v>10589.25</v>
      </c>
      <c r="G64" s="320">
        <f t="shared" si="26"/>
        <v>0</v>
      </c>
      <c r="H64" s="238">
        <v>26.25</v>
      </c>
      <c r="I64" s="238">
        <f t="shared" si="27"/>
        <v>10589.25</v>
      </c>
      <c r="J64" s="238"/>
      <c r="K64" s="238"/>
      <c r="L64" s="235"/>
      <c r="M64" s="235"/>
      <c r="N64" s="235">
        <f t="shared" si="28"/>
        <v>0</v>
      </c>
      <c r="O64" s="235"/>
      <c r="P64" s="321">
        <f t="shared" si="29"/>
        <v>0</v>
      </c>
      <c r="Q64" s="235">
        <f t="shared" si="30"/>
        <v>0</v>
      </c>
      <c r="R64" s="322">
        <f t="shared" si="31"/>
        <v>0</v>
      </c>
      <c r="S64" s="181"/>
      <c r="T64" s="205"/>
    </row>
    <row r="65" spans="1:20" ht="13.8">
      <c r="A65" s="239">
        <f t="shared" si="32"/>
        <v>46</v>
      </c>
      <c r="B65" s="219" t="s">
        <v>52</v>
      </c>
      <c r="C65" s="218" t="s">
        <v>18</v>
      </c>
      <c r="D65" s="217">
        <v>45986.77</v>
      </c>
      <c r="E65" s="217">
        <v>1</v>
      </c>
      <c r="F65" s="216">
        <f t="shared" si="25"/>
        <v>45986.77</v>
      </c>
      <c r="G65" s="320">
        <f t="shared" si="26"/>
        <v>0</v>
      </c>
      <c r="H65" s="238">
        <v>1</v>
      </c>
      <c r="I65" s="238">
        <f t="shared" si="27"/>
        <v>45986.77</v>
      </c>
      <c r="J65" s="238"/>
      <c r="K65" s="238"/>
      <c r="L65" s="235"/>
      <c r="M65" s="235"/>
      <c r="N65" s="235">
        <f t="shared" si="28"/>
        <v>0</v>
      </c>
      <c r="O65" s="235"/>
      <c r="P65" s="321">
        <f t="shared" si="29"/>
        <v>0</v>
      </c>
      <c r="Q65" s="235">
        <f t="shared" si="30"/>
        <v>0</v>
      </c>
      <c r="R65" s="322">
        <f t="shared" si="31"/>
        <v>0</v>
      </c>
      <c r="S65" s="181"/>
      <c r="T65" s="205"/>
    </row>
    <row r="66" spans="1:20" ht="13.8">
      <c r="A66" s="239">
        <f t="shared" si="32"/>
        <v>47</v>
      </c>
      <c r="B66" s="219" t="s">
        <v>53</v>
      </c>
      <c r="C66" s="218" t="s">
        <v>47</v>
      </c>
      <c r="D66" s="217">
        <v>825.66</v>
      </c>
      <c r="E66" s="217">
        <v>14.6</v>
      </c>
      <c r="F66" s="216">
        <f t="shared" si="25"/>
        <v>12054.64</v>
      </c>
      <c r="G66" s="320">
        <f t="shared" si="26"/>
        <v>0</v>
      </c>
      <c r="H66" s="238">
        <v>14.6</v>
      </c>
      <c r="I66" s="238">
        <f t="shared" si="27"/>
        <v>12054.64</v>
      </c>
      <c r="J66" s="238"/>
      <c r="K66" s="238"/>
      <c r="L66" s="235"/>
      <c r="M66" s="235"/>
      <c r="N66" s="235">
        <f t="shared" si="28"/>
        <v>0</v>
      </c>
      <c r="O66" s="235"/>
      <c r="P66" s="321">
        <f t="shared" si="29"/>
        <v>0</v>
      </c>
      <c r="Q66" s="235">
        <f t="shared" si="30"/>
        <v>0</v>
      </c>
      <c r="R66" s="322">
        <f t="shared" si="31"/>
        <v>0</v>
      </c>
      <c r="S66" s="181"/>
      <c r="T66" s="205"/>
    </row>
    <row r="67" spans="1:20" ht="13.8">
      <c r="A67" s="239">
        <f t="shared" si="32"/>
        <v>48</v>
      </c>
      <c r="B67" s="219" t="s">
        <v>54</v>
      </c>
      <c r="C67" s="218" t="s">
        <v>47</v>
      </c>
      <c r="D67" s="217">
        <v>83.48</v>
      </c>
      <c r="E67" s="217">
        <v>38.799999999999997</v>
      </c>
      <c r="F67" s="216">
        <f t="shared" si="25"/>
        <v>3239.02</v>
      </c>
      <c r="G67" s="320">
        <f t="shared" si="26"/>
        <v>0</v>
      </c>
      <c r="H67" s="238">
        <v>38.799999999999997</v>
      </c>
      <c r="I67" s="238">
        <f t="shared" si="27"/>
        <v>3239.02</v>
      </c>
      <c r="J67" s="238"/>
      <c r="K67" s="238"/>
      <c r="L67" s="235"/>
      <c r="M67" s="235"/>
      <c r="N67" s="235">
        <f t="shared" si="28"/>
        <v>0</v>
      </c>
      <c r="O67" s="235"/>
      <c r="P67" s="321">
        <f t="shared" si="29"/>
        <v>0</v>
      </c>
      <c r="Q67" s="235">
        <f t="shared" si="30"/>
        <v>0</v>
      </c>
      <c r="R67" s="322">
        <f t="shared" si="31"/>
        <v>0</v>
      </c>
      <c r="S67" s="181"/>
      <c r="T67" s="205"/>
    </row>
    <row r="68" spans="1:20" ht="13.8">
      <c r="A68" s="323">
        <f t="shared" si="32"/>
        <v>49</v>
      </c>
      <c r="B68" s="215" t="s">
        <v>57</v>
      </c>
      <c r="C68" s="214" t="s">
        <v>18</v>
      </c>
      <c r="D68" s="213">
        <v>4553.8599999999997</v>
      </c>
      <c r="E68" s="213">
        <v>1</v>
      </c>
      <c r="F68" s="212">
        <f t="shared" si="25"/>
        <v>4553.8599999999997</v>
      </c>
      <c r="G68" s="324">
        <f t="shared" si="26"/>
        <v>0</v>
      </c>
      <c r="H68" s="325">
        <v>1</v>
      </c>
      <c r="I68" s="325">
        <f t="shared" si="27"/>
        <v>4553.8599999999997</v>
      </c>
      <c r="J68" s="326"/>
      <c r="K68" s="331"/>
      <c r="L68" s="328"/>
      <c r="M68" s="328"/>
      <c r="N68" s="328">
        <f t="shared" si="28"/>
        <v>0</v>
      </c>
      <c r="O68" s="328"/>
      <c r="P68" s="327">
        <f t="shared" si="29"/>
        <v>0</v>
      </c>
      <c r="Q68" s="328">
        <f t="shared" si="30"/>
        <v>0</v>
      </c>
      <c r="R68" s="329">
        <f t="shared" si="31"/>
        <v>0</v>
      </c>
      <c r="S68" s="181"/>
      <c r="T68" s="205"/>
    </row>
    <row r="69" spans="1:20" ht="13.8">
      <c r="A69" s="229"/>
      <c r="B69" s="228" t="s">
        <v>61</v>
      </c>
      <c r="C69" s="227"/>
      <c r="D69" s="226"/>
      <c r="E69" s="226"/>
      <c r="F69" s="225"/>
      <c r="G69" s="226"/>
      <c r="H69" s="225"/>
      <c r="I69" s="225"/>
      <c r="J69" s="224"/>
      <c r="K69" s="223"/>
      <c r="L69" s="221"/>
      <c r="M69" s="221"/>
      <c r="N69" s="221"/>
      <c r="O69" s="221"/>
      <c r="P69" s="222"/>
      <c r="Q69" s="221"/>
      <c r="R69" s="220"/>
      <c r="S69" s="181"/>
      <c r="T69" s="205"/>
    </row>
    <row r="70" spans="1:20" ht="13.8">
      <c r="A70" s="313">
        <v>50</v>
      </c>
      <c r="B70" s="7" t="s">
        <v>62</v>
      </c>
      <c r="C70" s="234" t="s">
        <v>67</v>
      </c>
      <c r="D70" s="233">
        <v>1145.2</v>
      </c>
      <c r="E70" s="233">
        <v>15</v>
      </c>
      <c r="F70" s="232">
        <f>D70*E70</f>
        <v>17178</v>
      </c>
      <c r="G70" s="314">
        <f>+H70-E70</f>
        <v>0</v>
      </c>
      <c r="H70" s="315">
        <v>15</v>
      </c>
      <c r="I70" s="315">
        <f>+H70*D70</f>
        <v>17178</v>
      </c>
      <c r="J70" s="330"/>
      <c r="K70" s="332"/>
      <c r="L70" s="317"/>
      <c r="M70" s="317"/>
      <c r="N70" s="317">
        <f t="shared" ref="N70:N74" si="33">ROUND(M70*D70,2)</f>
        <v>0</v>
      </c>
      <c r="O70" s="317"/>
      <c r="P70" s="318">
        <f>L70+N70</f>
        <v>0</v>
      </c>
      <c r="Q70" s="317">
        <f>IF(ISERROR(N70/I70),"",ROUND(N70/I70*100,2))</f>
        <v>0</v>
      </c>
      <c r="R70" s="319">
        <f>IF(ISERROR(P70/I70),"",ROUND(P70/I70*100,2))</f>
        <v>0</v>
      </c>
      <c r="S70" s="181"/>
      <c r="T70" s="205"/>
    </row>
    <row r="71" spans="1:20" ht="13.8">
      <c r="A71" s="239">
        <f>1+A70</f>
        <v>51</v>
      </c>
      <c r="B71" s="8" t="s">
        <v>63</v>
      </c>
      <c r="C71" s="218" t="s">
        <v>67</v>
      </c>
      <c r="D71" s="217">
        <v>977.64</v>
      </c>
      <c r="E71" s="217">
        <v>33</v>
      </c>
      <c r="F71" s="231">
        <f>D71*E71</f>
        <v>32262.12</v>
      </c>
      <c r="G71" s="320">
        <f>+H71-E71</f>
        <v>0</v>
      </c>
      <c r="H71" s="238">
        <v>33</v>
      </c>
      <c r="I71" s="238">
        <f>+H71*D71</f>
        <v>32262.12</v>
      </c>
      <c r="J71" s="237"/>
      <c r="K71" s="236"/>
      <c r="L71" s="235"/>
      <c r="M71" s="235"/>
      <c r="N71" s="235">
        <f t="shared" si="33"/>
        <v>0</v>
      </c>
      <c r="O71" s="235"/>
      <c r="P71" s="321">
        <f>L71+N71</f>
        <v>0</v>
      </c>
      <c r="Q71" s="235">
        <f>IF(ISERROR(N71/I71),"",ROUND(N71/I71*100,2))</f>
        <v>0</v>
      </c>
      <c r="R71" s="322">
        <f>IF(ISERROR(P71/I71),"",ROUND(P71/I71*100,2))</f>
        <v>0</v>
      </c>
      <c r="S71" s="181"/>
      <c r="T71" s="205"/>
    </row>
    <row r="72" spans="1:20" ht="13.8">
      <c r="A72" s="239">
        <f>1+A71</f>
        <v>52</v>
      </c>
      <c r="B72" s="8" t="s">
        <v>64</v>
      </c>
      <c r="C72" s="218" t="s">
        <v>67</v>
      </c>
      <c r="D72" s="217">
        <v>1497.96</v>
      </c>
      <c r="E72" s="217">
        <v>1</v>
      </c>
      <c r="F72" s="231">
        <f>D72*E72</f>
        <v>1497.96</v>
      </c>
      <c r="G72" s="320">
        <f>+H72-E72</f>
        <v>0</v>
      </c>
      <c r="H72" s="238">
        <v>1</v>
      </c>
      <c r="I72" s="238">
        <f>+H72*D72</f>
        <v>1497.96</v>
      </c>
      <c r="J72" s="237"/>
      <c r="K72" s="236"/>
      <c r="L72" s="235"/>
      <c r="M72" s="235"/>
      <c r="N72" s="235">
        <f t="shared" si="33"/>
        <v>0</v>
      </c>
      <c r="O72" s="235"/>
      <c r="P72" s="321">
        <f>L72+N72</f>
        <v>0</v>
      </c>
      <c r="Q72" s="235">
        <f>IF(ISERROR(N72/I72),"",ROUND(N72/I72*100,2))</f>
        <v>0</v>
      </c>
      <c r="R72" s="322">
        <f>IF(ISERROR(P72/I72),"",ROUND(P72/I72*100,2))</f>
        <v>0</v>
      </c>
      <c r="S72" s="181"/>
      <c r="T72" s="205"/>
    </row>
    <row r="73" spans="1:20" ht="13.8">
      <c r="A73" s="239">
        <f>1+A72</f>
        <v>53</v>
      </c>
      <c r="B73" s="8" t="s">
        <v>65</v>
      </c>
      <c r="C73" s="218" t="s">
        <v>67</v>
      </c>
      <c r="D73" s="217">
        <v>276.64</v>
      </c>
      <c r="E73" s="217">
        <v>26</v>
      </c>
      <c r="F73" s="231">
        <f>D73*E73</f>
        <v>7192.64</v>
      </c>
      <c r="G73" s="320">
        <f>+H73-E73</f>
        <v>0</v>
      </c>
      <c r="H73" s="238">
        <v>26</v>
      </c>
      <c r="I73" s="238">
        <f>+H73*D73</f>
        <v>7192.64</v>
      </c>
      <c r="J73" s="237"/>
      <c r="K73" s="236"/>
      <c r="L73" s="235"/>
      <c r="M73" s="235"/>
      <c r="N73" s="235">
        <f t="shared" si="33"/>
        <v>0</v>
      </c>
      <c r="O73" s="235"/>
      <c r="P73" s="321">
        <f>L73+N73</f>
        <v>0</v>
      </c>
      <c r="Q73" s="235">
        <f>IF(ISERROR(N73/I73),"",ROUND(N73/I73*100,2))</f>
        <v>0</v>
      </c>
      <c r="R73" s="322">
        <f>IF(ISERROR(P73/I73),"",ROUND(P73/I73*100,2))</f>
        <v>0</v>
      </c>
      <c r="S73" s="181"/>
      <c r="T73" s="205"/>
    </row>
    <row r="74" spans="1:20" ht="13.8">
      <c r="A74" s="323">
        <f>1+A73</f>
        <v>54</v>
      </c>
      <c r="B74" s="9" t="s">
        <v>66</v>
      </c>
      <c r="C74" s="214" t="s">
        <v>67</v>
      </c>
      <c r="D74" s="213">
        <v>235.45</v>
      </c>
      <c r="E74" s="213">
        <v>98</v>
      </c>
      <c r="F74" s="230">
        <f>D74*E74</f>
        <v>23074.1</v>
      </c>
      <c r="G74" s="324">
        <f>+H74-E74</f>
        <v>0</v>
      </c>
      <c r="H74" s="325">
        <v>98</v>
      </c>
      <c r="I74" s="325">
        <f>+H74*D74</f>
        <v>23074.1</v>
      </c>
      <c r="J74" s="326"/>
      <c r="K74" s="331"/>
      <c r="L74" s="328"/>
      <c r="M74" s="328"/>
      <c r="N74" s="328">
        <f t="shared" si="33"/>
        <v>0</v>
      </c>
      <c r="O74" s="328"/>
      <c r="P74" s="327">
        <f>L74+N74</f>
        <v>0</v>
      </c>
      <c r="Q74" s="328">
        <f>IF(ISERROR(N74/I74),"",ROUND(N74/I74*100,2))</f>
        <v>0</v>
      </c>
      <c r="R74" s="329">
        <f>IF(ISERROR(P74/I74),"",ROUND(P74/I74*100,2))</f>
        <v>0</v>
      </c>
      <c r="S74" s="181"/>
      <c r="T74" s="205"/>
    </row>
    <row r="75" spans="1:20" ht="13.8">
      <c r="A75" s="229"/>
      <c r="B75" s="228" t="s">
        <v>68</v>
      </c>
      <c r="C75" s="227"/>
      <c r="D75" s="226"/>
      <c r="E75" s="226"/>
      <c r="F75" s="225"/>
      <c r="G75" s="226"/>
      <c r="H75" s="225"/>
      <c r="I75" s="225"/>
      <c r="J75" s="224"/>
      <c r="K75" s="223"/>
      <c r="L75" s="221"/>
      <c r="M75" s="221"/>
      <c r="N75" s="221"/>
      <c r="O75" s="221"/>
      <c r="P75" s="222"/>
      <c r="Q75" s="221"/>
      <c r="R75" s="220"/>
      <c r="S75" s="181"/>
      <c r="T75" s="205"/>
    </row>
    <row r="76" spans="1:20" ht="13.8">
      <c r="A76" s="313">
        <v>65</v>
      </c>
      <c r="B76" s="241" t="s">
        <v>69</v>
      </c>
      <c r="C76" s="234" t="s">
        <v>75</v>
      </c>
      <c r="D76" s="233">
        <v>412.06</v>
      </c>
      <c r="E76" s="233">
        <v>10</v>
      </c>
      <c r="F76" s="240">
        <f t="shared" ref="F76:F81" si="34">D76*E76</f>
        <v>4120.6000000000004</v>
      </c>
      <c r="G76" s="314">
        <f t="shared" ref="G76:G81" si="35">+H76-E76</f>
        <v>0</v>
      </c>
      <c r="H76" s="315">
        <v>10</v>
      </c>
      <c r="I76" s="315">
        <f t="shared" ref="I76:I81" si="36">+H76*D76</f>
        <v>4120.6000000000004</v>
      </c>
      <c r="J76" s="330"/>
      <c r="K76" s="332"/>
      <c r="L76" s="317"/>
      <c r="M76" s="317"/>
      <c r="N76" s="317">
        <f t="shared" ref="N76:N81" si="37">ROUND(M76*D76,2)</f>
        <v>0</v>
      </c>
      <c r="O76" s="317"/>
      <c r="P76" s="318">
        <f t="shared" ref="P76:P81" si="38">L76+N76</f>
        <v>0</v>
      </c>
      <c r="Q76" s="317">
        <f t="shared" ref="Q76:Q81" si="39">IF(ISERROR(N76/I76),"",ROUND(N76/I76*100,2))</f>
        <v>0</v>
      </c>
      <c r="R76" s="319">
        <f t="shared" ref="R76:R82" si="40">IF(ISERROR(P76/I76),"",ROUND(P76/I76*100,2))</f>
        <v>0</v>
      </c>
      <c r="S76" s="181"/>
      <c r="T76" s="205"/>
    </row>
    <row r="77" spans="1:20" ht="13.8">
      <c r="A77" s="239">
        <v>69</v>
      </c>
      <c r="B77" s="219" t="s">
        <v>70</v>
      </c>
      <c r="C77" s="218" t="s">
        <v>10</v>
      </c>
      <c r="D77" s="217">
        <v>337.66</v>
      </c>
      <c r="E77" s="217">
        <v>460.72</v>
      </c>
      <c r="F77" s="216">
        <f t="shared" si="34"/>
        <v>155566.72</v>
      </c>
      <c r="G77" s="320">
        <f t="shared" si="35"/>
        <v>189.38</v>
      </c>
      <c r="H77" s="238">
        <v>650.1</v>
      </c>
      <c r="I77" s="238">
        <f t="shared" si="36"/>
        <v>219512.77</v>
      </c>
      <c r="J77" s="237"/>
      <c r="K77" s="238"/>
      <c r="L77" s="235"/>
      <c r="M77" s="235"/>
      <c r="N77" s="235">
        <f t="shared" si="37"/>
        <v>0</v>
      </c>
      <c r="O77" s="235" t="str">
        <f>IF(M77+K77=0,"",M77+K77)</f>
        <v/>
      </c>
      <c r="P77" s="321">
        <f t="shared" si="38"/>
        <v>0</v>
      </c>
      <c r="Q77" s="235">
        <f t="shared" si="39"/>
        <v>0</v>
      </c>
      <c r="R77" s="322">
        <f t="shared" si="40"/>
        <v>0</v>
      </c>
      <c r="S77" s="181"/>
      <c r="T77" s="205"/>
    </row>
    <row r="78" spans="1:20" ht="13.8">
      <c r="A78" s="239">
        <f>1+A77</f>
        <v>70</v>
      </c>
      <c r="B78" s="219" t="s">
        <v>71</v>
      </c>
      <c r="C78" s="218" t="s">
        <v>18</v>
      </c>
      <c r="D78" s="217">
        <v>11160.89</v>
      </c>
      <c r="E78" s="217">
        <v>0.2</v>
      </c>
      <c r="F78" s="216">
        <f t="shared" si="34"/>
        <v>2232.1799999999998</v>
      </c>
      <c r="G78" s="320">
        <f t="shared" si="35"/>
        <v>0</v>
      </c>
      <c r="H78" s="238">
        <v>0.2</v>
      </c>
      <c r="I78" s="238">
        <f t="shared" si="36"/>
        <v>2232.1799999999998</v>
      </c>
      <c r="J78" s="237"/>
      <c r="K78" s="236"/>
      <c r="L78" s="235"/>
      <c r="M78" s="235"/>
      <c r="N78" s="235">
        <f t="shared" si="37"/>
        <v>0</v>
      </c>
      <c r="O78" s="235"/>
      <c r="P78" s="321">
        <f t="shared" si="38"/>
        <v>0</v>
      </c>
      <c r="Q78" s="235">
        <f t="shared" si="39"/>
        <v>0</v>
      </c>
      <c r="R78" s="322">
        <f t="shared" si="40"/>
        <v>0</v>
      </c>
      <c r="S78" s="181"/>
      <c r="T78" s="205"/>
    </row>
    <row r="79" spans="1:20" ht="13.8">
      <c r="A79" s="239">
        <f>1+A78</f>
        <v>71</v>
      </c>
      <c r="B79" s="219" t="s">
        <v>72</v>
      </c>
      <c r="C79" s="218" t="s">
        <v>25</v>
      </c>
      <c r="D79" s="217">
        <v>3424.36</v>
      </c>
      <c r="E79" s="217">
        <v>5.57</v>
      </c>
      <c r="F79" s="216">
        <f t="shared" si="34"/>
        <v>19073.689999999999</v>
      </c>
      <c r="G79" s="320">
        <f t="shared" si="35"/>
        <v>0</v>
      </c>
      <c r="H79" s="238">
        <v>5.57</v>
      </c>
      <c r="I79" s="238">
        <f t="shared" si="36"/>
        <v>19073.689999999999</v>
      </c>
      <c r="J79" s="237"/>
      <c r="K79" s="236"/>
      <c r="L79" s="235"/>
      <c r="M79" s="235"/>
      <c r="N79" s="235">
        <f t="shared" si="37"/>
        <v>0</v>
      </c>
      <c r="O79" s="235"/>
      <c r="P79" s="321">
        <f t="shared" si="38"/>
        <v>0</v>
      </c>
      <c r="Q79" s="235">
        <f t="shared" si="39"/>
        <v>0</v>
      </c>
      <c r="R79" s="322">
        <f t="shared" si="40"/>
        <v>0</v>
      </c>
      <c r="S79" s="181"/>
      <c r="T79" s="205"/>
    </row>
    <row r="80" spans="1:20" ht="13.8">
      <c r="A80" s="239">
        <f>1+A79</f>
        <v>72</v>
      </c>
      <c r="B80" s="219" t="s">
        <v>73</v>
      </c>
      <c r="C80" s="218" t="s">
        <v>25</v>
      </c>
      <c r="D80" s="217">
        <v>5452.74</v>
      </c>
      <c r="E80" s="217">
        <v>4.78</v>
      </c>
      <c r="F80" s="216">
        <f t="shared" si="34"/>
        <v>26064.1</v>
      </c>
      <c r="G80" s="320">
        <f t="shared" si="35"/>
        <v>0</v>
      </c>
      <c r="H80" s="238">
        <v>4.78</v>
      </c>
      <c r="I80" s="238">
        <f t="shared" si="36"/>
        <v>26064.1</v>
      </c>
      <c r="J80" s="237"/>
      <c r="K80" s="236"/>
      <c r="L80" s="235"/>
      <c r="M80" s="235"/>
      <c r="N80" s="235">
        <f t="shared" si="37"/>
        <v>0</v>
      </c>
      <c r="O80" s="235"/>
      <c r="P80" s="321">
        <f t="shared" si="38"/>
        <v>0</v>
      </c>
      <c r="Q80" s="235">
        <f t="shared" si="39"/>
        <v>0</v>
      </c>
      <c r="R80" s="322">
        <f t="shared" si="40"/>
        <v>0</v>
      </c>
      <c r="S80" s="181"/>
      <c r="T80" s="205"/>
    </row>
    <row r="81" spans="1:21" ht="13.8">
      <c r="A81" s="323">
        <v>74</v>
      </c>
      <c r="B81" s="215" t="s">
        <v>74</v>
      </c>
      <c r="C81" s="214" t="s">
        <v>18</v>
      </c>
      <c r="D81" s="213">
        <v>6376.18</v>
      </c>
      <c r="E81" s="213">
        <v>0.4</v>
      </c>
      <c r="F81" s="212">
        <f t="shared" si="34"/>
        <v>2550.4699999999998</v>
      </c>
      <c r="G81" s="324">
        <f t="shared" si="35"/>
        <v>0</v>
      </c>
      <c r="H81" s="325">
        <v>0.4</v>
      </c>
      <c r="I81" s="325">
        <f t="shared" si="36"/>
        <v>2550.4699999999998</v>
      </c>
      <c r="J81" s="326"/>
      <c r="K81" s="328"/>
      <c r="L81" s="328"/>
      <c r="M81" s="328"/>
      <c r="N81" s="328">
        <f t="shared" si="37"/>
        <v>0</v>
      </c>
      <c r="O81" s="328"/>
      <c r="P81" s="327">
        <f t="shared" si="38"/>
        <v>0</v>
      </c>
      <c r="Q81" s="328">
        <f t="shared" si="39"/>
        <v>0</v>
      </c>
      <c r="R81" s="329">
        <f t="shared" si="40"/>
        <v>0</v>
      </c>
      <c r="S81" s="181"/>
      <c r="T81" s="205"/>
    </row>
    <row r="82" spans="1:21" ht="13.8">
      <c r="A82" s="333"/>
      <c r="B82" s="259"/>
      <c r="C82" s="227"/>
      <c r="D82" s="226"/>
      <c r="E82" s="334"/>
      <c r="F82" s="225"/>
      <c r="G82" s="226"/>
      <c r="H82" s="225"/>
      <c r="I82" s="225"/>
      <c r="J82" s="226"/>
      <c r="K82" s="221"/>
      <c r="L82" s="221"/>
      <c r="M82" s="221"/>
      <c r="N82" s="221"/>
      <c r="O82" s="221"/>
      <c r="P82" s="222"/>
      <c r="Q82" s="221"/>
      <c r="R82" s="335" t="str">
        <f t="shared" si="40"/>
        <v/>
      </c>
    </row>
    <row r="83" spans="1:21">
      <c r="A83" s="771" t="s">
        <v>16</v>
      </c>
      <c r="B83" s="772"/>
      <c r="C83" s="772"/>
      <c r="D83" s="772"/>
      <c r="E83" s="204"/>
      <c r="F83" s="211">
        <f>SUM(F16:F81)</f>
        <v>16903840.539999999</v>
      </c>
      <c r="G83" s="204"/>
      <c r="H83" s="210"/>
      <c r="I83" s="209">
        <f>SUM(I16:I81)</f>
        <v>16903840.539999999</v>
      </c>
      <c r="J83" s="204"/>
      <c r="K83" s="204"/>
      <c r="L83" s="204">
        <f>ROUND(SUM(L16:L82),2)</f>
        <v>0</v>
      </c>
      <c r="M83" s="204"/>
      <c r="N83" s="204">
        <f>SUM(N16:N82)</f>
        <v>0</v>
      </c>
      <c r="O83" s="204" t="str">
        <f>IF(M83+K83=0,"",M83+K83)</f>
        <v/>
      </c>
      <c r="P83" s="204">
        <f>ROUND(SUM(P16:P82),2)</f>
        <v>0</v>
      </c>
      <c r="Q83" s="208">
        <f>+N83/I83*100</f>
        <v>0</v>
      </c>
      <c r="R83" s="208"/>
      <c r="S83" s="207"/>
      <c r="T83" s="206"/>
      <c r="U83" s="205"/>
    </row>
    <row r="84" spans="1:21">
      <c r="A84" s="184"/>
      <c r="B84" s="184"/>
      <c r="C84" s="184"/>
      <c r="D84" s="184"/>
      <c r="E84" s="184"/>
      <c r="F84" s="203"/>
      <c r="G84" s="184"/>
      <c r="H84" s="184"/>
      <c r="I84" s="190"/>
      <c r="J84" s="184"/>
      <c r="K84" s="193"/>
      <c r="L84" s="192"/>
      <c r="M84" s="193"/>
      <c r="N84" s="196"/>
      <c r="O84" s="193"/>
      <c r="P84" s="192"/>
      <c r="Q84" s="184"/>
      <c r="R84" s="202"/>
    </row>
    <row r="85" spans="1:21">
      <c r="A85" s="184"/>
      <c r="B85" s="184"/>
      <c r="C85" s="184"/>
      <c r="D85" s="184"/>
      <c r="E85" s="184"/>
      <c r="F85" s="184"/>
      <c r="G85" s="184"/>
      <c r="H85" s="184"/>
      <c r="I85" s="190"/>
      <c r="J85" s="184"/>
      <c r="K85" s="193"/>
      <c r="L85" s="192"/>
      <c r="M85" s="193"/>
      <c r="N85" s="196"/>
      <c r="O85" s="193"/>
      <c r="P85" s="192"/>
      <c r="Q85" s="201"/>
      <c r="R85" s="184"/>
    </row>
    <row r="86" spans="1:21">
      <c r="A86" s="184"/>
      <c r="B86" s="184"/>
      <c r="C86" s="184"/>
      <c r="D86" s="184"/>
      <c r="E86" s="184"/>
      <c r="F86" s="200"/>
      <c r="G86" s="184"/>
      <c r="H86" s="184"/>
      <c r="I86" s="184"/>
      <c r="J86" s="184"/>
      <c r="K86" s="193"/>
      <c r="L86" s="192"/>
      <c r="M86" s="193"/>
      <c r="N86" s="199"/>
      <c r="O86" s="198"/>
      <c r="P86" s="197"/>
      <c r="Q86" s="184"/>
      <c r="R86" s="184"/>
    </row>
    <row r="87" spans="1:21">
      <c r="A87" s="184"/>
      <c r="B87" s="184"/>
      <c r="C87" s="184"/>
      <c r="D87" s="184"/>
      <c r="E87" s="184"/>
      <c r="F87" s="185"/>
      <c r="G87" s="184"/>
      <c r="H87" s="184"/>
      <c r="I87" s="184"/>
      <c r="J87" s="184"/>
      <c r="K87" s="193"/>
      <c r="L87" s="192"/>
      <c r="M87" s="193"/>
      <c r="N87" s="196"/>
      <c r="O87" s="193"/>
      <c r="P87" s="192"/>
      <c r="Q87" s="184"/>
      <c r="R87" s="184"/>
    </row>
    <row r="88" spans="1:21">
      <c r="A88" s="184"/>
      <c r="B88" s="184"/>
      <c r="C88" s="184"/>
      <c r="D88" s="184"/>
      <c r="E88" s="184"/>
      <c r="F88" s="184"/>
      <c r="G88" s="190"/>
      <c r="H88" s="184"/>
      <c r="I88" s="184"/>
      <c r="J88" s="184"/>
      <c r="K88" s="193"/>
      <c r="L88" s="195"/>
      <c r="M88" s="193"/>
      <c r="N88" s="195"/>
      <c r="O88" s="193"/>
      <c r="P88" s="195"/>
      <c r="Q88" s="194"/>
      <c r="R88" s="193"/>
    </row>
    <row r="89" spans="1:21">
      <c r="A89" s="184"/>
      <c r="B89" s="184"/>
      <c r="C89" s="184"/>
      <c r="D89" s="184"/>
      <c r="E89" s="184"/>
      <c r="F89" s="184"/>
      <c r="G89" s="190"/>
      <c r="H89" s="184"/>
      <c r="I89" s="184"/>
      <c r="J89" s="184"/>
      <c r="K89" s="193"/>
      <c r="L89" s="195"/>
      <c r="M89" s="193"/>
      <c r="N89" s="195"/>
      <c r="O89" s="193"/>
      <c r="P89" s="195"/>
      <c r="Q89" s="194"/>
      <c r="R89" s="193"/>
    </row>
    <row r="90" spans="1:21">
      <c r="A90" s="184"/>
      <c r="B90" s="184"/>
      <c r="C90" s="184"/>
      <c r="D90" s="184"/>
      <c r="E90" s="184"/>
      <c r="F90" s="184"/>
      <c r="G90" s="190"/>
      <c r="H90" s="184"/>
      <c r="I90" s="184"/>
      <c r="J90" s="184"/>
      <c r="K90" s="193"/>
      <c r="L90" s="195"/>
      <c r="M90" s="193"/>
      <c r="N90" s="195"/>
      <c r="O90" s="193"/>
      <c r="P90" s="195"/>
      <c r="Q90" s="194"/>
      <c r="R90" s="193"/>
    </row>
    <row r="91" spans="1:21">
      <c r="A91" s="184"/>
      <c r="B91" s="184"/>
      <c r="C91" s="184"/>
      <c r="D91" s="184"/>
      <c r="E91" s="184"/>
      <c r="F91" s="184"/>
      <c r="G91" s="190"/>
      <c r="H91" s="184"/>
      <c r="I91" s="184"/>
      <c r="J91" s="184"/>
      <c r="K91" s="193"/>
      <c r="L91" s="195"/>
      <c r="M91" s="193"/>
      <c r="N91" s="195"/>
      <c r="O91" s="193"/>
      <c r="P91" s="195"/>
      <c r="Q91" s="194"/>
      <c r="R91" s="193"/>
    </row>
    <row r="92" spans="1:21">
      <c r="A92" s="184"/>
      <c r="B92" s="184"/>
      <c r="C92" s="184"/>
      <c r="D92" s="184"/>
      <c r="E92" s="184"/>
      <c r="F92" s="184"/>
      <c r="G92" s="190"/>
      <c r="H92" s="184"/>
      <c r="I92" s="184"/>
      <c r="J92" s="184"/>
      <c r="K92" s="193"/>
      <c r="L92" s="195"/>
      <c r="M92" s="193"/>
      <c r="N92" s="195"/>
      <c r="O92" s="193"/>
      <c r="P92" s="195"/>
      <c r="Q92" s="194"/>
      <c r="R92" s="193"/>
    </row>
    <row r="93" spans="1:21">
      <c r="A93" s="184"/>
      <c r="B93" s="184"/>
      <c r="C93" s="184"/>
      <c r="D93" s="184"/>
      <c r="E93" s="184"/>
      <c r="F93" s="184"/>
      <c r="G93" s="190"/>
      <c r="H93" s="184"/>
      <c r="I93" s="184"/>
      <c r="J93" s="184"/>
      <c r="K93" s="193"/>
      <c r="L93" s="195"/>
      <c r="M93" s="193"/>
      <c r="N93" s="195"/>
      <c r="O93" s="193"/>
      <c r="P93" s="195"/>
      <c r="Q93" s="194"/>
      <c r="R93" s="193"/>
    </row>
    <row r="94" spans="1:21">
      <c r="A94" s="184"/>
      <c r="B94" s="184"/>
      <c r="C94" s="184"/>
      <c r="D94" s="184"/>
      <c r="E94" s="184"/>
      <c r="F94" s="184"/>
      <c r="G94" s="190"/>
      <c r="H94" s="184"/>
      <c r="I94" s="184"/>
      <c r="J94" s="184"/>
      <c r="K94" s="193"/>
      <c r="L94" s="195"/>
      <c r="M94" s="193"/>
      <c r="N94" s="195"/>
      <c r="O94" s="193"/>
      <c r="P94" s="195"/>
      <c r="Q94" s="194"/>
      <c r="R94" s="193"/>
    </row>
    <row r="95" spans="1:21">
      <c r="A95" s="184"/>
      <c r="B95" s="184"/>
      <c r="C95" s="184"/>
      <c r="D95" s="184"/>
      <c r="E95" s="184"/>
      <c r="F95" s="184"/>
      <c r="G95" s="190"/>
      <c r="H95" s="184"/>
      <c r="I95" s="184"/>
      <c r="J95" s="184"/>
      <c r="K95" s="193"/>
      <c r="L95" s="195"/>
      <c r="M95" s="193"/>
      <c r="N95" s="195"/>
      <c r="O95" s="193"/>
      <c r="P95" s="195"/>
      <c r="Q95" s="194"/>
      <c r="R95" s="193"/>
    </row>
    <row r="96" spans="1:21">
      <c r="A96" s="184"/>
      <c r="B96" s="184"/>
      <c r="C96" s="184"/>
      <c r="D96" s="184"/>
      <c r="E96" s="184"/>
      <c r="F96" s="184"/>
      <c r="G96" s="190"/>
      <c r="H96" s="184"/>
      <c r="I96" s="184"/>
      <c r="J96" s="184"/>
      <c r="K96" s="193"/>
      <c r="L96" s="195"/>
      <c r="M96" s="193"/>
      <c r="N96" s="195"/>
      <c r="O96" s="193"/>
      <c r="P96" s="195"/>
      <c r="Q96" s="194"/>
      <c r="R96" s="193"/>
    </row>
    <row r="97" spans="1:18">
      <c r="A97" s="184"/>
      <c r="B97" s="184"/>
      <c r="C97" s="184"/>
      <c r="D97" s="184"/>
      <c r="E97" s="184"/>
      <c r="F97" s="184"/>
      <c r="G97" s="184"/>
      <c r="H97" s="184"/>
      <c r="I97" s="184"/>
      <c r="J97" s="184"/>
      <c r="K97" s="193"/>
      <c r="L97" s="192"/>
      <c r="M97" s="193"/>
      <c r="N97" s="192"/>
      <c r="O97" s="193"/>
      <c r="P97" s="192"/>
      <c r="Q97" s="190"/>
      <c r="R97" s="184"/>
    </row>
    <row r="98" spans="1:18">
      <c r="A98" s="191"/>
      <c r="B98" s="184"/>
      <c r="C98" s="184"/>
      <c r="D98" s="184"/>
      <c r="E98" s="184"/>
      <c r="F98" s="189"/>
      <c r="G98" s="184"/>
      <c r="H98" s="184"/>
      <c r="I98" s="184"/>
      <c r="J98" s="184"/>
      <c r="K98" s="184"/>
      <c r="L98" s="190"/>
      <c r="M98" s="184"/>
      <c r="N98" s="184"/>
      <c r="O98" s="184"/>
      <c r="P98" s="185"/>
      <c r="Q98" s="184"/>
      <c r="R98" s="184"/>
    </row>
    <row r="99" spans="1:18">
      <c r="A99" s="184"/>
      <c r="B99" s="184"/>
      <c r="C99" s="184"/>
      <c r="D99" s="184"/>
      <c r="E99" s="184"/>
      <c r="F99" s="189"/>
      <c r="G99" s="184"/>
      <c r="H99" s="184"/>
      <c r="I99" s="184"/>
      <c r="J99" s="184"/>
      <c r="K99" s="184"/>
      <c r="L99" s="188"/>
      <c r="M99" s="184"/>
      <c r="N99" s="187"/>
      <c r="O99" s="184"/>
      <c r="P99" s="186"/>
      <c r="Q99" s="185"/>
      <c r="R99" s="184"/>
    </row>
    <row r="100" spans="1:18">
      <c r="A100" s="184"/>
      <c r="B100" s="184"/>
      <c r="C100" s="184"/>
      <c r="D100" s="184"/>
      <c r="E100" s="184"/>
      <c r="F100" s="184"/>
      <c r="G100" s="184"/>
      <c r="H100" s="184"/>
      <c r="I100" s="184"/>
      <c r="J100" s="184"/>
      <c r="K100" s="184"/>
      <c r="L100" s="184"/>
      <c r="M100" s="184"/>
      <c r="N100" s="185"/>
      <c r="O100" s="184"/>
      <c r="P100" s="184"/>
      <c r="Q100" s="184"/>
      <c r="R100" s="184"/>
    </row>
    <row r="101" spans="1:18">
      <c r="A101" s="184"/>
      <c r="B101" s="184"/>
      <c r="C101" s="184"/>
      <c r="D101" s="184"/>
      <c r="E101" s="184"/>
      <c r="F101" s="184"/>
      <c r="G101" s="184"/>
      <c r="H101" s="184"/>
      <c r="I101" s="184"/>
      <c r="J101" s="184"/>
      <c r="K101" s="184"/>
      <c r="L101" s="184"/>
      <c r="M101" s="184"/>
      <c r="N101" s="184"/>
      <c r="O101" s="184"/>
      <c r="P101" s="184"/>
      <c r="Q101" s="184"/>
      <c r="R101" s="184"/>
    </row>
    <row r="103" spans="1:18" ht="24.75" customHeight="1"/>
    <row r="104" spans="1:18">
      <c r="N104" s="183"/>
    </row>
    <row r="105" spans="1:18">
      <c r="F105" s="181"/>
      <c r="N105" s="182"/>
      <c r="O105" s="182"/>
    </row>
    <row r="106" spans="1:18">
      <c r="N106" s="181"/>
    </row>
    <row r="109" spans="1:18">
      <c r="F109" s="180"/>
    </row>
    <row r="110" spans="1:18">
      <c r="F110" s="179"/>
    </row>
    <row r="111" spans="1:18">
      <c r="E111" s="178"/>
    </row>
    <row r="112" spans="1:18">
      <c r="E112" s="177"/>
    </row>
    <row r="113" spans="5:5">
      <c r="E113" s="177"/>
    </row>
  </sheetData>
  <mergeCells count="34">
    <mergeCell ref="J13:J14"/>
    <mergeCell ref="A83:D83"/>
    <mergeCell ref="E13:E14"/>
    <mergeCell ref="F13:F14"/>
    <mergeCell ref="G13:G14"/>
    <mergeCell ref="H13:H14"/>
    <mergeCell ref="D11:R11"/>
    <mergeCell ref="A12:A14"/>
    <mergeCell ref="B12:B14"/>
    <mergeCell ref="C12:F12"/>
    <mergeCell ref="G12:J12"/>
    <mergeCell ref="K12:L12"/>
    <mergeCell ref="M12:N12"/>
    <mergeCell ref="O12:P12"/>
    <mergeCell ref="Q12:R12"/>
    <mergeCell ref="C13:D13"/>
    <mergeCell ref="K13:K14"/>
    <mergeCell ref="M13:M14"/>
    <mergeCell ref="O13:O14"/>
    <mergeCell ref="Q13:Q14"/>
    <mergeCell ref="R13:R14"/>
    <mergeCell ref="I13:I14"/>
    <mergeCell ref="D10:R10"/>
    <mergeCell ref="A1:R1"/>
    <mergeCell ref="A2:R2"/>
    <mergeCell ref="A3:B3"/>
    <mergeCell ref="C3:R3"/>
    <mergeCell ref="A4:B4"/>
    <mergeCell ref="C4:R4"/>
    <mergeCell ref="D5:R5"/>
    <mergeCell ref="D6:R6"/>
    <mergeCell ref="D7:R7"/>
    <mergeCell ref="D8:R8"/>
    <mergeCell ref="D9:R9"/>
  </mergeCells>
  <conditionalFormatting sqref="A15:R81">
    <cfRule type="expression" dxfId="0" priority="1">
      <formula>IF($M15&gt;0,1,0)</formula>
    </cfRule>
  </conditionalFormatting>
  <printOptions horizontalCentered="1"/>
  <pageMargins left="3.937007874015748E-2" right="0" top="0.43307086614173229" bottom="0.19685039370078741" header="0" footer="0"/>
  <pageSetup scale="57" fitToHeight="0" orientation="landscape" horizontalDpi="4294967293" r:id="rId1"/>
  <headerFooter scaleWithDoc="0" alignWithMargins="0"/>
  <rowBreaks count="1" manualBreakCount="1">
    <brk id="68" min="1" max="17" man="1"/>
  </rowBreaks>
  <colBreaks count="1" manualBreakCount="1">
    <brk id="18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15</vt:i4>
      </vt:variant>
      <vt:variant>
        <vt:lpstr>Rangos con nombre</vt:lpstr>
      </vt:variant>
      <vt:variant>
        <vt:i4>14</vt:i4>
      </vt:variant>
    </vt:vector>
  </HeadingPairs>
  <TitlesOfParts>
    <vt:vector size="29" baseType="lpstr">
      <vt:lpstr>TC</vt:lpstr>
      <vt:lpstr>ANALISIS</vt:lpstr>
      <vt:lpstr>PLANILLAS</vt:lpstr>
      <vt:lpstr>FISICO-FINANCIERO</vt:lpstr>
      <vt:lpstr>Grafica</vt:lpstr>
      <vt:lpstr>CAO N° 1</vt:lpstr>
      <vt:lpstr>CAO N° 2</vt:lpstr>
      <vt:lpstr>CAO N° 3</vt:lpstr>
      <vt:lpstr>CAO N° 4</vt:lpstr>
      <vt:lpstr>CAO N° 5</vt:lpstr>
      <vt:lpstr>CAO N° 6</vt:lpstr>
      <vt:lpstr>CAO N° 7</vt:lpstr>
      <vt:lpstr>CAO N° 8</vt:lpstr>
      <vt:lpstr>CAO N° 9</vt:lpstr>
      <vt:lpstr>CAO N° 10</vt:lpstr>
      <vt:lpstr>ANALISIS!Área_de_impresión</vt:lpstr>
      <vt:lpstr>'CAO N° 1'!Área_de_impresión</vt:lpstr>
      <vt:lpstr>'CAO N° 10'!Área_de_impresión</vt:lpstr>
      <vt:lpstr>'CAO N° 2'!Área_de_impresión</vt:lpstr>
      <vt:lpstr>'CAO N° 3'!Área_de_impresión</vt:lpstr>
      <vt:lpstr>'CAO N° 4'!Área_de_impresión</vt:lpstr>
      <vt:lpstr>'CAO N° 5'!Área_de_impresión</vt:lpstr>
      <vt:lpstr>'CAO N° 6'!Área_de_impresión</vt:lpstr>
      <vt:lpstr>'CAO N° 7'!Área_de_impresión</vt:lpstr>
      <vt:lpstr>'CAO N° 8'!Área_de_impresión</vt:lpstr>
      <vt:lpstr>'CAO N° 9'!Área_de_impresión</vt:lpstr>
      <vt:lpstr>'FISICO-FINANCIERO'!Área_de_impresión</vt:lpstr>
      <vt:lpstr>Grafica!Área_de_impresión</vt:lpstr>
      <vt:lpstr>PLANILLAS!Área_de_impresión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Potosi</dc:creator>
  <cp:lastModifiedBy>HP</cp:lastModifiedBy>
  <cp:lastPrinted>2021-11-03T16:06:55Z</cp:lastPrinted>
  <dcterms:created xsi:type="dcterms:W3CDTF">1999-02-25T21:07:39Z</dcterms:created>
  <dcterms:modified xsi:type="dcterms:W3CDTF">2026-06-17T02:42:27Z</dcterms:modified>
</cp:coreProperties>
</file>